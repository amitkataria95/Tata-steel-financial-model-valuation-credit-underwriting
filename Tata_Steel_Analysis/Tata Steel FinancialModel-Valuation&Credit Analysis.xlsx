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it Personal\Amit Personal\Tata Steel Project\"/>
    </mc:Choice>
  </mc:AlternateContent>
  <xr:revisionPtr revIDLastSave="0" documentId="8_{A3661EC5-439D-455B-9786-CD59069ECCBD}" xr6:coauthVersionLast="47" xr6:coauthVersionMax="47" xr10:uidLastSave="{00000000-0000-0000-0000-000000000000}"/>
  <bookViews>
    <workbookView xWindow="28680" yWindow="-5415" windowWidth="38640" windowHeight="21120" xr2:uid="{00000000-000D-0000-FFFF-FFFF00000000}"/>
  </bookViews>
  <sheets>
    <sheet name="Executive Summary" sheetId="1" r:id="rId1"/>
    <sheet name="Historicals" sheetId="2" r:id="rId2"/>
    <sheet name="Assumptions" sheetId="3" r:id="rId3"/>
    <sheet name="Forecast" sheetId="4" r:id="rId4"/>
    <sheet name="Checks" sheetId="5" r:id="rId5"/>
    <sheet name="Sources" sheetId="6" r:id="rId6"/>
    <sheet name="Income Statement" sheetId="7" r:id="rId7"/>
    <sheet name="Balance Sheet" sheetId="8" r:id="rId8"/>
    <sheet name="Working Capital" sheetId="9" r:id="rId9"/>
    <sheet name="PP&amp;E Schedule" sheetId="10" r:id="rId10"/>
    <sheet name="Debt Schedule" sheetId="11" r:id="rId11"/>
    <sheet name="Cash Flow" sheetId="12" r:id="rId12"/>
    <sheet name="Ratios" sheetId="13" r:id="rId13"/>
    <sheet name="Operating Drivers" sheetId="15" r:id="rId14"/>
    <sheet name="DCF Valuation" sheetId="16" r:id="rId15"/>
    <sheet name="Trading Comps" sheetId="17" r:id="rId16"/>
    <sheet name="Credit Underwriting" sheetId="18" r:id="rId17"/>
    <sheet name="Capex Build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9" l="1"/>
  <c r="D15" i="17"/>
  <c r="C15" i="17"/>
  <c r="B15" i="17"/>
  <c r="D8" i="17"/>
  <c r="I8" i="17" s="1"/>
  <c r="D7" i="17"/>
  <c r="I7" i="17" s="1"/>
  <c r="H6" i="17"/>
  <c r="D6" i="17"/>
  <c r="I6" i="17" s="1"/>
  <c r="I5" i="17"/>
  <c r="H5" i="17"/>
  <c r="D5" i="17"/>
  <c r="B70" i="16"/>
  <c r="B71" i="16" s="1"/>
  <c r="B73" i="16" s="1"/>
  <c r="B27" i="16"/>
  <c r="B26" i="16"/>
  <c r="B28" i="16" s="1"/>
  <c r="B23" i="16"/>
  <c r="B25" i="16" s="1"/>
  <c r="B22" i="16"/>
  <c r="F10" i="16"/>
  <c r="F7" i="16"/>
  <c r="E7" i="16"/>
  <c r="D7" i="16"/>
  <c r="C7" i="16"/>
  <c r="B7" i="16"/>
  <c r="B33" i="15"/>
  <c r="B9" i="15"/>
  <c r="C8" i="15"/>
  <c r="C9" i="15" s="1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D26" i="12"/>
  <c r="H18" i="12"/>
  <c r="F18" i="12"/>
  <c r="E18" i="12"/>
  <c r="H16" i="12"/>
  <c r="G16" i="12"/>
  <c r="F16" i="12"/>
  <c r="E16" i="12"/>
  <c r="D16" i="12"/>
  <c r="H34" i="11"/>
  <c r="G34" i="11"/>
  <c r="F34" i="11"/>
  <c r="E34" i="11"/>
  <c r="D34" i="11"/>
  <c r="H29" i="11"/>
  <c r="G29" i="11"/>
  <c r="F29" i="11"/>
  <c r="E29" i="11"/>
  <c r="D29" i="11"/>
  <c r="H26" i="11"/>
  <c r="G26" i="11"/>
  <c r="F26" i="11"/>
  <c r="E26" i="11"/>
  <c r="D26" i="11"/>
  <c r="H22" i="11"/>
  <c r="G22" i="11"/>
  <c r="F22" i="11"/>
  <c r="E22" i="11"/>
  <c r="D22" i="11"/>
  <c r="D20" i="11"/>
  <c r="D36" i="11" s="1"/>
  <c r="D15" i="11" s="1"/>
  <c r="D19" i="11"/>
  <c r="D6" i="11"/>
  <c r="B18" i="18" s="1"/>
  <c r="C15" i="10"/>
  <c r="H8" i="10"/>
  <c r="G8" i="10"/>
  <c r="E10" i="16" s="1"/>
  <c r="F8" i="10"/>
  <c r="D10" i="16" s="1"/>
  <c r="E8" i="10"/>
  <c r="C10" i="16" s="1"/>
  <c r="D8" i="10"/>
  <c r="B10" i="16" s="1"/>
  <c r="D7" i="10"/>
  <c r="D6" i="10"/>
  <c r="C15" i="9"/>
  <c r="C16" i="9" s="1"/>
  <c r="C14" i="9"/>
  <c r="B14" i="9"/>
  <c r="H13" i="9"/>
  <c r="G13" i="9"/>
  <c r="F13" i="9"/>
  <c r="E13" i="9"/>
  <c r="D13" i="9"/>
  <c r="C13" i="9"/>
  <c r="B13" i="9"/>
  <c r="H11" i="9"/>
  <c r="G11" i="9"/>
  <c r="F11" i="9"/>
  <c r="E11" i="9"/>
  <c r="D11" i="9"/>
  <c r="C11" i="9"/>
  <c r="B11" i="9"/>
  <c r="H9" i="9"/>
  <c r="G9" i="9"/>
  <c r="F9" i="9"/>
  <c r="E9" i="9"/>
  <c r="D9" i="9"/>
  <c r="C9" i="9"/>
  <c r="B9" i="9"/>
  <c r="C37" i="8"/>
  <c r="B37" i="8"/>
  <c r="H31" i="8"/>
  <c r="G31" i="8"/>
  <c r="F31" i="8"/>
  <c r="E31" i="8"/>
  <c r="D31" i="8"/>
  <c r="H28" i="8"/>
  <c r="G28" i="8"/>
  <c r="F28" i="8"/>
  <c r="E28" i="8"/>
  <c r="D28" i="8"/>
  <c r="H27" i="8"/>
  <c r="G27" i="8"/>
  <c r="F27" i="8"/>
  <c r="E27" i="8"/>
  <c r="D27" i="8"/>
  <c r="H23" i="8"/>
  <c r="G23" i="8"/>
  <c r="F23" i="8"/>
  <c r="E23" i="8"/>
  <c r="D23" i="8"/>
  <c r="H16" i="8"/>
  <c r="G16" i="8"/>
  <c r="F16" i="8"/>
  <c r="E16" i="8"/>
  <c r="D16" i="8"/>
  <c r="H11" i="8"/>
  <c r="G11" i="8"/>
  <c r="F11" i="8"/>
  <c r="E11" i="8"/>
  <c r="D11" i="8"/>
  <c r="H10" i="8"/>
  <c r="G10" i="8"/>
  <c r="F10" i="8"/>
  <c r="E10" i="8"/>
  <c r="D10" i="8"/>
  <c r="H9" i="8"/>
  <c r="G9" i="8"/>
  <c r="F9" i="8"/>
  <c r="E9" i="8"/>
  <c r="D9" i="8"/>
  <c r="C12" i="7"/>
  <c r="B12" i="7"/>
  <c r="C8" i="7"/>
  <c r="B8" i="7"/>
  <c r="G29" i="4"/>
  <c r="F18" i="4"/>
  <c r="B6" i="5" s="1"/>
  <c r="C6" i="5" s="1"/>
  <c r="E18" i="4"/>
  <c r="D18" i="4"/>
  <c r="C18" i="4"/>
  <c r="B18" i="4"/>
  <c r="G15" i="4"/>
  <c r="C12" i="4"/>
  <c r="F11" i="4"/>
  <c r="E11" i="4"/>
  <c r="D11" i="4"/>
  <c r="C11" i="4"/>
  <c r="B11" i="4"/>
  <c r="F9" i="4"/>
  <c r="F10" i="4" s="1"/>
  <c r="E9" i="4"/>
  <c r="E10" i="4" s="1"/>
  <c r="D9" i="4"/>
  <c r="C9" i="4"/>
  <c r="D10" i="4" s="1"/>
  <c r="B9" i="4"/>
  <c r="C8" i="4"/>
  <c r="B8" i="4"/>
  <c r="F7" i="4"/>
  <c r="G7" i="4" s="1"/>
  <c r="E7" i="4"/>
  <c r="D7" i="4"/>
  <c r="C7" i="4"/>
  <c r="B7" i="4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20" i="2"/>
  <c r="E20" i="2"/>
  <c r="D20" i="2"/>
  <c r="C20" i="2"/>
  <c r="B20" i="2"/>
  <c r="F14" i="2"/>
  <c r="F12" i="4" s="1"/>
  <c r="B5" i="5" s="1"/>
  <c r="C5" i="5" s="1"/>
  <c r="E14" i="2"/>
  <c r="E12" i="4" s="1"/>
  <c r="D14" i="2"/>
  <c r="D12" i="4" s="1"/>
  <c r="C14" i="2"/>
  <c r="B14" i="2"/>
  <c r="B12" i="4" s="1"/>
  <c r="F12" i="2"/>
  <c r="B15" i="15" s="1"/>
  <c r="C15" i="15" s="1"/>
  <c r="D15" i="15" s="1"/>
  <c r="E15" i="15" s="1"/>
  <c r="F15" i="15" s="1"/>
  <c r="G15" i="15" s="1"/>
  <c r="E12" i="2"/>
  <c r="E8" i="4" s="1"/>
  <c r="D12" i="2"/>
  <c r="D8" i="4" s="1"/>
  <c r="C12" i="2"/>
  <c r="B12" i="2"/>
  <c r="F11" i="2"/>
  <c r="E11" i="2"/>
  <c r="D11" i="2"/>
  <c r="C11" i="2"/>
  <c r="F9" i="2"/>
  <c r="E9" i="2"/>
  <c r="D9" i="2"/>
  <c r="C9" i="2"/>
  <c r="F34" i="1"/>
  <c r="B34" i="1"/>
  <c r="F19" i="1"/>
  <c r="E19" i="1"/>
  <c r="D19" i="1"/>
  <c r="C19" i="1"/>
  <c r="B19" i="1"/>
  <c r="B24" i="17" l="1"/>
  <c r="B26" i="17" s="1"/>
  <c r="B29" i="17" s="1"/>
  <c r="B37" i="17" s="1"/>
  <c r="H7" i="4"/>
  <c r="D9" i="12"/>
  <c r="D9" i="7"/>
  <c r="G18" i="12"/>
  <c r="D14" i="17"/>
  <c r="C14" i="17"/>
  <c r="B14" i="17"/>
  <c r="B30" i="16"/>
  <c r="B29" i="16"/>
  <c r="F8" i="4"/>
  <c r="G8" i="4" s="1"/>
  <c r="H8" i="4" s="1"/>
  <c r="I8" i="4" s="1"/>
  <c r="J8" i="4" s="1"/>
  <c r="K8" i="4" s="1"/>
  <c r="C10" i="4"/>
  <c r="D35" i="11"/>
  <c r="D8" i="15"/>
  <c r="H7" i="17"/>
  <c r="B13" i="17" s="1"/>
  <c r="D18" i="12"/>
  <c r="H8" i="17"/>
  <c r="D13" i="17" l="1"/>
  <c r="D14" i="16"/>
  <c r="C14" i="16"/>
  <c r="F14" i="16"/>
  <c r="B76" i="16" s="1"/>
  <c r="E14" i="16"/>
  <c r="B14" i="16"/>
  <c r="B21" i="5" s="1"/>
  <c r="C21" i="5" s="1"/>
  <c r="D34" i="1"/>
  <c r="B16" i="5"/>
  <c r="C16" i="5" s="1"/>
  <c r="D9" i="15"/>
  <c r="E8" i="15"/>
  <c r="H9" i="4"/>
  <c r="I7" i="4"/>
  <c r="C13" i="17"/>
  <c r="F36" i="1" s="1"/>
  <c r="D14" i="11"/>
  <c r="D24" i="11"/>
  <c r="G9" i="4"/>
  <c r="Q6" i="1"/>
  <c r="D36" i="1"/>
  <c r="B11" i="18" l="1"/>
  <c r="B19" i="18" s="1"/>
  <c r="D8" i="12"/>
  <c r="D22" i="12"/>
  <c r="D10" i="7"/>
  <c r="G24" i="4"/>
  <c r="D6" i="7"/>
  <c r="G11" i="4"/>
  <c r="G10" i="4"/>
  <c r="G13" i="4"/>
  <c r="J7" i="4"/>
  <c r="I9" i="4"/>
  <c r="H24" i="4"/>
  <c r="H11" i="4"/>
  <c r="H13" i="4"/>
  <c r="E6" i="7"/>
  <c r="H10" i="4"/>
  <c r="F8" i="15"/>
  <c r="E9" i="15"/>
  <c r="I11" i="4" l="1"/>
  <c r="I13" i="4"/>
  <c r="F6" i="7"/>
  <c r="I10" i="4"/>
  <c r="I24" i="4"/>
  <c r="H14" i="4"/>
  <c r="E7" i="7"/>
  <c r="H22" i="4"/>
  <c r="H12" i="4"/>
  <c r="D6" i="13"/>
  <c r="B6" i="18"/>
  <c r="C6" i="19"/>
  <c r="D6" i="9"/>
  <c r="D14" i="13"/>
  <c r="G8" i="15"/>
  <c r="G9" i="15" s="1"/>
  <c r="F9" i="15"/>
  <c r="K7" i="4"/>
  <c r="K9" i="4" s="1"/>
  <c r="J9" i="4"/>
  <c r="E6" i="9"/>
  <c r="C6" i="18"/>
  <c r="D6" i="19"/>
  <c r="E14" i="13"/>
  <c r="E6" i="13"/>
  <c r="G14" i="4"/>
  <c r="G16" i="4" s="1"/>
  <c r="D7" i="7"/>
  <c r="G22" i="4"/>
  <c r="G12" i="4"/>
  <c r="E7" i="13" l="1"/>
  <c r="C7" i="18"/>
  <c r="E8" i="7"/>
  <c r="C8" i="19"/>
  <c r="B12" i="3" s="1"/>
  <c r="G25" i="4" s="1"/>
  <c r="C10" i="19"/>
  <c r="D10" i="19"/>
  <c r="D8" i="19"/>
  <c r="C12" i="3" s="1"/>
  <c r="H25" i="4" s="1"/>
  <c r="F6" i="9"/>
  <c r="F14" i="13"/>
  <c r="F6" i="13"/>
  <c r="D6" i="18"/>
  <c r="E6" i="19"/>
  <c r="G17" i="4"/>
  <c r="G23" i="4" s="1"/>
  <c r="G26" i="4" s="1"/>
  <c r="G30" i="4" s="1"/>
  <c r="G31" i="4" s="1"/>
  <c r="H29" i="4" s="1"/>
  <c r="D10" i="9"/>
  <c r="D14" i="8" s="1"/>
  <c r="D7" i="9"/>
  <c r="E10" i="9"/>
  <c r="E14" i="8" s="1"/>
  <c r="E7" i="9"/>
  <c r="J11" i="4"/>
  <c r="J13" i="4"/>
  <c r="G6" i="7"/>
  <c r="J10" i="4"/>
  <c r="J24" i="4"/>
  <c r="G40" i="18"/>
  <c r="G38" i="18"/>
  <c r="G39" i="18"/>
  <c r="D11" i="13"/>
  <c r="D7" i="13"/>
  <c r="B21" i="17"/>
  <c r="B23" i="17" s="1"/>
  <c r="B28" i="17" s="1"/>
  <c r="B36" i="17" s="1"/>
  <c r="B7" i="18"/>
  <c r="D8" i="7"/>
  <c r="K11" i="4"/>
  <c r="K13" i="4"/>
  <c r="H6" i="7"/>
  <c r="K10" i="4"/>
  <c r="K24" i="4"/>
  <c r="F7" i="7"/>
  <c r="I22" i="4"/>
  <c r="I12" i="4"/>
  <c r="I14" i="4"/>
  <c r="H15" i="4" l="1"/>
  <c r="H16" i="4" s="1"/>
  <c r="E10" i="19"/>
  <c r="E8" i="19"/>
  <c r="D12" i="3" s="1"/>
  <c r="I25" i="4" s="1"/>
  <c r="J22" i="4"/>
  <c r="J12" i="4"/>
  <c r="J14" i="4"/>
  <c r="G7" i="7"/>
  <c r="E12" i="9"/>
  <c r="E32" i="8" s="1"/>
  <c r="E8" i="9"/>
  <c r="G18" i="4"/>
  <c r="F6" i="18"/>
  <c r="G6" i="19"/>
  <c r="H6" i="9"/>
  <c r="H14" i="13"/>
  <c r="H6" i="13"/>
  <c r="C16" i="18"/>
  <c r="E10" i="10"/>
  <c r="D11" i="19"/>
  <c r="B16" i="18"/>
  <c r="C11" i="19"/>
  <c r="D10" i="10"/>
  <c r="D12" i="9"/>
  <c r="D32" i="8" s="1"/>
  <c r="D8" i="9"/>
  <c r="F7" i="9"/>
  <c r="F10" i="9"/>
  <c r="F14" i="8" s="1"/>
  <c r="K14" i="4"/>
  <c r="H7" i="7"/>
  <c r="K22" i="4"/>
  <c r="K12" i="4"/>
  <c r="D7" i="18"/>
  <c r="F7" i="13"/>
  <c r="F8" i="7"/>
  <c r="Q5" i="1"/>
  <c r="B36" i="1"/>
  <c r="G6" i="13"/>
  <c r="E6" i="18"/>
  <c r="F6" i="19"/>
  <c r="G6" i="9"/>
  <c r="G14" i="13"/>
  <c r="F12" i="9" l="1"/>
  <c r="F32" i="8" s="1"/>
  <c r="F8" i="9"/>
  <c r="D11" i="10"/>
  <c r="C13" i="19"/>
  <c r="C14" i="19" s="1"/>
  <c r="G8" i="19"/>
  <c r="F12" i="3" s="1"/>
  <c r="K25" i="4" s="1"/>
  <c r="G10" i="19"/>
  <c r="D16" i="18"/>
  <c r="F10" i="10"/>
  <c r="E11" i="19"/>
  <c r="F10" i="19"/>
  <c r="F8" i="19"/>
  <c r="E12" i="3" s="1"/>
  <c r="J25" i="4" s="1"/>
  <c r="H10" i="9"/>
  <c r="H14" i="8" s="1"/>
  <c r="H7" i="9"/>
  <c r="D13" i="19"/>
  <c r="D14" i="19"/>
  <c r="E11" i="10"/>
  <c r="E14" i="9"/>
  <c r="E13" i="8"/>
  <c r="H7" i="13"/>
  <c r="F7" i="18"/>
  <c r="B38" i="16"/>
  <c r="B40" i="16" s="1"/>
  <c r="H8" i="7"/>
  <c r="G10" i="9"/>
  <c r="G14" i="8" s="1"/>
  <c r="G7" i="9"/>
  <c r="D14" i="9"/>
  <c r="D15" i="9" s="1"/>
  <c r="D13" i="8"/>
  <c r="G7" i="13"/>
  <c r="E7" i="18"/>
  <c r="G8" i="7"/>
  <c r="H17" i="4"/>
  <c r="H23" i="4" s="1"/>
  <c r="H26" i="4" s="1"/>
  <c r="H30" i="4" s="1"/>
  <c r="H31" i="4" s="1"/>
  <c r="I29" i="4" s="1"/>
  <c r="H18" i="4"/>
  <c r="B11" i="16" l="1"/>
  <c r="D16" i="9"/>
  <c r="D12" i="12" s="1"/>
  <c r="H12" i="9"/>
  <c r="H32" i="8" s="1"/>
  <c r="H8" i="9"/>
  <c r="H10" i="10"/>
  <c r="G11" i="19"/>
  <c r="F16" i="18"/>
  <c r="G12" i="9"/>
  <c r="G32" i="8" s="1"/>
  <c r="G8" i="9"/>
  <c r="F11" i="19"/>
  <c r="E16" i="18"/>
  <c r="G10" i="10"/>
  <c r="E15" i="9"/>
  <c r="E14" i="19"/>
  <c r="F11" i="10"/>
  <c r="E13" i="19"/>
  <c r="D14" i="10"/>
  <c r="D12" i="10"/>
  <c r="I15" i="4"/>
  <c r="I16" i="4" s="1"/>
  <c r="F14" i="9"/>
  <c r="F15" i="9" s="1"/>
  <c r="F13" i="8"/>
  <c r="H14" i="9" l="1"/>
  <c r="H15" i="9" s="1"/>
  <c r="H13" i="8"/>
  <c r="H11" i="10"/>
  <c r="G13" i="19"/>
  <c r="G14" i="19" s="1"/>
  <c r="E7" i="10"/>
  <c r="D8" i="8"/>
  <c r="F16" i="9"/>
  <c r="F12" i="12" s="1"/>
  <c r="D11" i="16"/>
  <c r="C11" i="16"/>
  <c r="E16" i="9"/>
  <c r="E12" i="12" s="1"/>
  <c r="I17" i="4"/>
  <c r="I23" i="4" s="1"/>
  <c r="I26" i="4" s="1"/>
  <c r="I30" i="4" s="1"/>
  <c r="I31" i="4" s="1"/>
  <c r="J29" i="4" s="1"/>
  <c r="I18" i="4"/>
  <c r="D9" i="10"/>
  <c r="D13" i="10" s="1"/>
  <c r="F14" i="19"/>
  <c r="F13" i="19"/>
  <c r="G11" i="10"/>
  <c r="G14" i="9"/>
  <c r="G15" i="9" s="1"/>
  <c r="G13" i="8"/>
  <c r="E6" i="10" l="1"/>
  <c r="D16" i="10"/>
  <c r="D7" i="8"/>
  <c r="D12" i="8" s="1"/>
  <c r="F11" i="16"/>
  <c r="H16" i="9"/>
  <c r="H12" i="12" s="1"/>
  <c r="D7" i="12"/>
  <c r="D15" i="10"/>
  <c r="B9" i="16"/>
  <c r="D11" i="7"/>
  <c r="D12" i="7" s="1"/>
  <c r="H38" i="18"/>
  <c r="J38" i="18" s="1"/>
  <c r="I38" i="18"/>
  <c r="I39" i="18"/>
  <c r="I40" i="18"/>
  <c r="D44" i="1" s="1"/>
  <c r="H39" i="18"/>
  <c r="J39" i="18" s="1"/>
  <c r="H40" i="18"/>
  <c r="J40" i="18" s="1"/>
  <c r="E14" i="10"/>
  <c r="E12" i="10"/>
  <c r="E11" i="16"/>
  <c r="G16" i="9"/>
  <c r="G12" i="12" s="1"/>
  <c r="J15" i="4"/>
  <c r="J16" i="4" s="1"/>
  <c r="D43" i="1" l="1"/>
  <c r="B20" i="5"/>
  <c r="C20" i="5" s="1"/>
  <c r="C43" i="1"/>
  <c r="B19" i="5"/>
  <c r="C19" i="5" s="1"/>
  <c r="B18" i="5"/>
  <c r="C18" i="5" s="1"/>
  <c r="C44" i="1"/>
  <c r="F7" i="10"/>
  <c r="E8" i="8"/>
  <c r="J17" i="4"/>
  <c r="J23" i="4" s="1"/>
  <c r="J26" i="4" s="1"/>
  <c r="J30" i="4" s="1"/>
  <c r="J31" i="4" s="1"/>
  <c r="K29" i="4" s="1"/>
  <c r="B8" i="18"/>
  <c r="B14" i="18" s="1"/>
  <c r="B6" i="16"/>
  <c r="B8" i="16" s="1"/>
  <c r="B12" i="16" s="1"/>
  <c r="D15" i="7"/>
  <c r="E9" i="10"/>
  <c r="E13" i="10"/>
  <c r="E7" i="12" l="1"/>
  <c r="C9" i="16"/>
  <c r="E11" i="7"/>
  <c r="E15" i="10"/>
  <c r="F6" i="10"/>
  <c r="E7" i="8"/>
  <c r="E12" i="8" s="1"/>
  <c r="E16" i="10"/>
  <c r="B15" i="16"/>
  <c r="J18" i="4"/>
  <c r="F12" i="10"/>
  <c r="F14" i="10"/>
  <c r="D16" i="7"/>
  <c r="D14" i="12" s="1"/>
  <c r="D6" i="12"/>
  <c r="D11" i="12" s="1"/>
  <c r="D13" i="12" s="1"/>
  <c r="D17" i="7"/>
  <c r="K15" i="4"/>
  <c r="K16" i="4" s="1"/>
  <c r="K17" i="4" l="1"/>
  <c r="K23" i="4" s="1"/>
  <c r="K26" i="4" s="1"/>
  <c r="K30" i="4" s="1"/>
  <c r="K31" i="4" s="1"/>
  <c r="D15" i="12"/>
  <c r="F9" i="10"/>
  <c r="F13" i="10"/>
  <c r="D21" i="12"/>
  <c r="D29" i="12" s="1"/>
  <c r="D23" i="11"/>
  <c r="D8" i="13"/>
  <c r="G7" i="10"/>
  <c r="F8" i="8"/>
  <c r="D28" i="12" l="1"/>
  <c r="B15" i="18"/>
  <c r="D21" i="11"/>
  <c r="D25" i="11" s="1"/>
  <c r="D13" i="13"/>
  <c r="F16" i="10"/>
  <c r="G6" i="10"/>
  <c r="F7" i="8"/>
  <c r="F12" i="8" s="1"/>
  <c r="F15" i="10"/>
  <c r="D9" i="16"/>
  <c r="F7" i="12"/>
  <c r="F11" i="7"/>
  <c r="G12" i="10"/>
  <c r="G14" i="10" s="1"/>
  <c r="D24" i="8"/>
  <c r="K18" i="4"/>
  <c r="H7" i="10" l="1"/>
  <c r="G8" i="8"/>
  <c r="D25" i="8"/>
  <c r="G9" i="10"/>
  <c r="G13" i="10" s="1"/>
  <c r="D27" i="11"/>
  <c r="D28" i="11" s="1"/>
  <c r="B21" i="18"/>
  <c r="B22" i="18" s="1"/>
  <c r="B17" i="18"/>
  <c r="B20" i="18" s="1"/>
  <c r="B43" i="1" s="1"/>
  <c r="D30" i="12"/>
  <c r="D15" i="13"/>
  <c r="G16" i="10" l="1"/>
  <c r="H6" i="10"/>
  <c r="G7" i="8"/>
  <c r="G12" i="8" s="1"/>
  <c r="G15" i="10"/>
  <c r="E9" i="16"/>
  <c r="G11" i="7"/>
  <c r="G7" i="12"/>
  <c r="D30" i="11"/>
  <c r="D32" i="11" s="1"/>
  <c r="D31" i="11"/>
  <c r="H12" i="10"/>
  <c r="H14" i="10" s="1"/>
  <c r="H8" i="8" s="1"/>
  <c r="H9" i="10" l="1"/>
  <c r="H13" i="10"/>
  <c r="D33" i="11"/>
  <c r="E19" i="11"/>
  <c r="D8" i="11"/>
  <c r="D26" i="8" s="1"/>
  <c r="D29" i="8" s="1"/>
  <c r="D10" i="11"/>
  <c r="D9" i="11"/>
  <c r="D30" i="8" s="1"/>
  <c r="D11" i="11"/>
  <c r="E20" i="11"/>
  <c r="D7" i="11"/>
  <c r="D20" i="12" s="1"/>
  <c r="D23" i="12" s="1"/>
  <c r="B9" i="18" l="1"/>
  <c r="B12" i="18" s="1"/>
  <c r="D10" i="13"/>
  <c r="E6" i="11"/>
  <c r="C18" i="18" s="1"/>
  <c r="E35" i="11"/>
  <c r="H16" i="10"/>
  <c r="H7" i="8"/>
  <c r="H12" i="8" s="1"/>
  <c r="D12" i="11"/>
  <c r="D13" i="11"/>
  <c r="H7" i="12"/>
  <c r="H15" i="10"/>
  <c r="H11" i="7"/>
  <c r="F9" i="16"/>
  <c r="E36" i="11"/>
  <c r="E15" i="11" s="1"/>
  <c r="D27" i="12"/>
  <c r="B23" i="18"/>
  <c r="D15" i="8"/>
  <c r="D17" i="8" s="1"/>
  <c r="E14" i="11" l="1"/>
  <c r="E24" i="11"/>
  <c r="D19" i="8"/>
  <c r="B10" i="18"/>
  <c r="B13" i="18" s="1"/>
  <c r="D9" i="13"/>
  <c r="B14" i="5"/>
  <c r="C14" i="5" s="1"/>
  <c r="E9" i="12"/>
  <c r="E9" i="7"/>
  <c r="E26" i="12"/>
  <c r="D25" i="12"/>
  <c r="B12" i="5"/>
  <c r="C12" i="5" s="1"/>
  <c r="C11" i="18" l="1"/>
  <c r="C19" i="18" s="1"/>
  <c r="E22" i="12"/>
  <c r="E10" i="7"/>
  <c r="E12" i="7" s="1"/>
  <c r="E8" i="12"/>
  <c r="E11" i="13"/>
  <c r="D33" i="8"/>
  <c r="D34" i="8" s="1"/>
  <c r="Q10" i="1"/>
  <c r="F40" i="1"/>
  <c r="B44" i="1"/>
  <c r="C8" i="18" l="1"/>
  <c r="C14" i="18" s="1"/>
  <c r="C6" i="16"/>
  <c r="C8" i="16" s="1"/>
  <c r="C12" i="16" s="1"/>
  <c r="E15" i="7"/>
  <c r="D35" i="8"/>
  <c r="D36" i="8" s="1"/>
  <c r="D37" i="8" s="1"/>
  <c r="B7" i="5" s="1"/>
  <c r="C7" i="5" s="1"/>
  <c r="D12" i="13"/>
  <c r="E6" i="12" l="1"/>
  <c r="E11" i="12" s="1"/>
  <c r="E13" i="12" s="1"/>
  <c r="E16" i="7"/>
  <c r="E14" i="12" s="1"/>
  <c r="C15" i="16"/>
  <c r="E17" i="7" l="1"/>
  <c r="E15" i="12"/>
  <c r="E13" i="13" l="1"/>
  <c r="E21" i="11"/>
  <c r="C15" i="18"/>
  <c r="E28" i="12"/>
  <c r="E21" i="12"/>
  <c r="E29" i="12" s="1"/>
  <c r="E8" i="13"/>
  <c r="E23" i="11"/>
  <c r="E24" i="8"/>
  <c r="E25" i="8" l="1"/>
  <c r="C21" i="18"/>
  <c r="C22" i="18" s="1"/>
  <c r="C17" i="18"/>
  <c r="C20" i="18" s="1"/>
  <c r="E25" i="11"/>
  <c r="E30" i="12"/>
  <c r="E15" i="13"/>
  <c r="E27" i="11" l="1"/>
  <c r="E28" i="11" s="1"/>
  <c r="E30" i="11" l="1"/>
  <c r="E7" i="11" s="1"/>
  <c r="E20" i="12" s="1"/>
  <c r="E23" i="12" s="1"/>
  <c r="E32" i="11"/>
  <c r="F20" i="11" l="1"/>
  <c r="E11" i="11"/>
  <c r="E31" i="11"/>
  <c r="E33" i="11" l="1"/>
  <c r="E9" i="11"/>
  <c r="E30" i="8" s="1"/>
  <c r="E10" i="11"/>
  <c r="E8" i="11"/>
  <c r="E26" i="8" s="1"/>
  <c r="E29" i="8" s="1"/>
  <c r="F19" i="11"/>
  <c r="F36" i="11"/>
  <c r="F15" i="11" s="1"/>
  <c r="C23" i="18"/>
  <c r="E27" i="12"/>
  <c r="E15" i="8"/>
  <c r="E17" i="8" s="1"/>
  <c r="C9" i="18" l="1"/>
  <c r="C12" i="18" s="1"/>
  <c r="E10" i="13"/>
  <c r="E19" i="8"/>
  <c r="F9" i="12"/>
  <c r="F9" i="7"/>
  <c r="F6" i="11"/>
  <c r="D18" i="18" s="1"/>
  <c r="F35" i="11"/>
  <c r="E25" i="12"/>
  <c r="F26" i="12"/>
  <c r="E13" i="11"/>
  <c r="E12" i="11"/>
  <c r="E33" i="8" l="1"/>
  <c r="E34" i="8" s="1"/>
  <c r="C10" i="18"/>
  <c r="C13" i="18" s="1"/>
  <c r="Q11" i="1" s="1"/>
  <c r="E9" i="13"/>
  <c r="F24" i="11"/>
  <c r="F14" i="11"/>
  <c r="D11" i="18" l="1"/>
  <c r="D19" i="18" s="1"/>
  <c r="F8" i="12"/>
  <c r="F22" i="12"/>
  <c r="F10" i="7"/>
  <c r="F12" i="7" s="1"/>
  <c r="F11" i="13"/>
  <c r="E35" i="8"/>
  <c r="E36" i="8" s="1"/>
  <c r="E37" i="8" s="1"/>
  <c r="B8" i="5" s="1"/>
  <c r="C8" i="5" s="1"/>
  <c r="E12" i="13"/>
  <c r="D8" i="18" l="1"/>
  <c r="D14" i="18" s="1"/>
  <c r="D6" i="16"/>
  <c r="D8" i="16" s="1"/>
  <c r="D12" i="16" s="1"/>
  <c r="F15" i="7"/>
  <c r="F6" i="12" l="1"/>
  <c r="F11" i="12" s="1"/>
  <c r="F13" i="12" s="1"/>
  <c r="F16" i="7"/>
  <c r="F14" i="12" s="1"/>
  <c r="D15" i="16"/>
  <c r="F17" i="7" l="1"/>
  <c r="F15" i="12"/>
  <c r="F13" i="13" l="1"/>
  <c r="F28" i="12"/>
  <c r="F21" i="11"/>
  <c r="D15" i="18"/>
  <c r="F23" i="11"/>
  <c r="F8" i="13"/>
  <c r="F21" i="12"/>
  <c r="F29" i="12" s="1"/>
  <c r="F24" i="8" l="1"/>
  <c r="F25" i="11"/>
  <c r="D17" i="18"/>
  <c r="D20" i="18" s="1"/>
  <c r="D21" i="18"/>
  <c r="D22" i="18" s="1"/>
  <c r="F30" i="12"/>
  <c r="F15" i="13"/>
  <c r="F25" i="8" l="1"/>
  <c r="F27" i="11"/>
  <c r="F28" i="11" s="1"/>
  <c r="F30" i="11" l="1"/>
  <c r="F7" i="11" s="1"/>
  <c r="F20" i="12" s="1"/>
  <c r="F23" i="12" s="1"/>
  <c r="F32" i="11" l="1"/>
  <c r="F31" i="11"/>
  <c r="F9" i="11" l="1"/>
  <c r="F30" i="8" s="1"/>
  <c r="F10" i="11"/>
  <c r="G19" i="11"/>
  <c r="F33" i="11"/>
  <c r="F8" i="11"/>
  <c r="F26" i="8" s="1"/>
  <c r="F29" i="8" s="1"/>
  <c r="F11" i="11"/>
  <c r="G20" i="11"/>
  <c r="D9" i="18" l="1"/>
  <c r="D12" i="18" s="1"/>
  <c r="F10" i="13"/>
  <c r="G36" i="11"/>
  <c r="G15" i="11" s="1"/>
  <c r="D23" i="18"/>
  <c r="F27" i="12"/>
  <c r="F15" i="8"/>
  <c r="F17" i="8" s="1"/>
  <c r="F12" i="11"/>
  <c r="F13" i="11"/>
  <c r="G35" i="11"/>
  <c r="G6" i="11"/>
  <c r="E18" i="18" s="1"/>
  <c r="F19" i="8" l="1"/>
  <c r="G24" i="11"/>
  <c r="G14" i="11"/>
  <c r="F25" i="12"/>
  <c r="G26" i="12"/>
  <c r="G9" i="12"/>
  <c r="G9" i="7"/>
  <c r="F9" i="13"/>
  <c r="D10" i="18"/>
  <c r="D13" i="18" s="1"/>
  <c r="G12" i="7" l="1"/>
  <c r="R10" i="1"/>
  <c r="Q12" i="1"/>
  <c r="E11" i="18"/>
  <c r="E19" i="18" s="1"/>
  <c r="G8" i="12"/>
  <c r="G22" i="12"/>
  <c r="G10" i="7"/>
  <c r="G11" i="13"/>
  <c r="F33" i="8"/>
  <c r="F34" i="8" s="1"/>
  <c r="F35" i="8" l="1"/>
  <c r="F36" i="8" s="1"/>
  <c r="F37" i="8" s="1"/>
  <c r="B9" i="5" s="1"/>
  <c r="C9" i="5" s="1"/>
  <c r="F12" i="13"/>
  <c r="E8" i="18"/>
  <c r="E14" i="18" s="1"/>
  <c r="G15" i="7"/>
  <c r="E6" i="16"/>
  <c r="E8" i="16" s="1"/>
  <c r="E12" i="16" s="1"/>
  <c r="E15" i="16" l="1"/>
  <c r="G16" i="7"/>
  <c r="G14" i="12" s="1"/>
  <c r="G17" i="7"/>
  <c r="G6" i="12"/>
  <c r="G11" i="12" s="1"/>
  <c r="G13" i="12" s="1"/>
  <c r="G15" i="12" s="1"/>
  <c r="G23" i="11" l="1"/>
  <c r="G21" i="12"/>
  <c r="G29" i="12" s="1"/>
  <c r="G8" i="13"/>
  <c r="G24" i="8"/>
  <c r="G28" i="12"/>
  <c r="E15" i="18"/>
  <c r="G13" i="13"/>
  <c r="G21" i="11"/>
  <c r="E17" i="18" l="1"/>
  <c r="E20" i="18" s="1"/>
  <c r="E21" i="18"/>
  <c r="E22" i="18" s="1"/>
  <c r="G25" i="11"/>
  <c r="G15" i="13"/>
  <c r="G30" i="12"/>
  <c r="G25" i="8"/>
  <c r="G27" i="11" l="1"/>
  <c r="G28" i="11" s="1"/>
  <c r="G7" i="11" l="1"/>
  <c r="G20" i="12" s="1"/>
  <c r="G23" i="12" s="1"/>
  <c r="G30" i="11"/>
  <c r="G31" i="11" s="1"/>
  <c r="G32" i="11"/>
  <c r="H19" i="11" l="1"/>
  <c r="G8" i="11"/>
  <c r="G26" i="8" s="1"/>
  <c r="G29" i="8" s="1"/>
  <c r="G33" i="11"/>
  <c r="G9" i="11"/>
  <c r="G30" i="8" s="1"/>
  <c r="G10" i="11"/>
  <c r="H20" i="11"/>
  <c r="G11" i="11"/>
  <c r="H36" i="11" l="1"/>
  <c r="H15" i="11" s="1"/>
  <c r="G12" i="11"/>
  <c r="G13" i="11"/>
  <c r="H35" i="11"/>
  <c r="H6" i="11"/>
  <c r="F18" i="18" s="1"/>
  <c r="E23" i="18"/>
  <c r="G27" i="12"/>
  <c r="G15" i="8"/>
  <c r="G17" i="8" s="1"/>
  <c r="E9" i="18"/>
  <c r="E12" i="18" s="1"/>
  <c r="G10" i="13"/>
  <c r="H24" i="11" l="1"/>
  <c r="H14" i="11"/>
  <c r="H26" i="12"/>
  <c r="G25" i="12"/>
  <c r="G9" i="13"/>
  <c r="E10" i="18"/>
  <c r="E13" i="18" s="1"/>
  <c r="G19" i="8"/>
  <c r="H9" i="12"/>
  <c r="H9" i="7"/>
  <c r="G33" i="8" l="1"/>
  <c r="G34" i="8" s="1"/>
  <c r="H22" i="12"/>
  <c r="F11" i="18"/>
  <c r="F19" i="18" s="1"/>
  <c r="H8" i="12"/>
  <c r="H10" i="7"/>
  <c r="H12" i="7" s="1"/>
  <c r="H11" i="13"/>
  <c r="S10" i="1"/>
  <c r="Q13" i="1"/>
  <c r="F6" i="16" l="1"/>
  <c r="F8" i="16" s="1"/>
  <c r="F12" i="16" s="1"/>
  <c r="F8" i="18"/>
  <c r="F14" i="18" s="1"/>
  <c r="H15" i="7"/>
  <c r="G35" i="8"/>
  <c r="G36" i="8" s="1"/>
  <c r="G37" i="8" s="1"/>
  <c r="B10" i="5" s="1"/>
  <c r="C10" i="5" s="1"/>
  <c r="G12" i="13"/>
  <c r="H6" i="12" l="1"/>
  <c r="H11" i="12" s="1"/>
  <c r="H13" i="12" s="1"/>
  <c r="H16" i="7"/>
  <c r="H14" i="12" s="1"/>
  <c r="B37" i="16"/>
  <c r="B39" i="16" s="1"/>
  <c r="B42" i="16" s="1"/>
  <c r="F15" i="16"/>
  <c r="B41" i="16" s="1"/>
  <c r="D56" i="16"/>
  <c r="F54" i="16"/>
  <c r="F56" i="16"/>
  <c r="B54" i="16"/>
  <c r="C56" i="16"/>
  <c r="E56" i="16"/>
  <c r="C53" i="16"/>
  <c r="C55" i="16"/>
  <c r="F55" i="16"/>
  <c r="F53" i="16"/>
  <c r="D52" i="16"/>
  <c r="B55" i="16"/>
  <c r="D55" i="16"/>
  <c r="E53" i="16"/>
  <c r="D53" i="16"/>
  <c r="B52" i="16"/>
  <c r="C54" i="16"/>
  <c r="C52" i="16"/>
  <c r="E55" i="16"/>
  <c r="B56" i="16"/>
  <c r="E52" i="16"/>
  <c r="B53" i="16"/>
  <c r="D54" i="16"/>
  <c r="E54" i="16"/>
  <c r="F52" i="16"/>
  <c r="E64" i="16"/>
  <c r="B64" i="16"/>
  <c r="F62" i="16"/>
  <c r="E62" i="16"/>
  <c r="C65" i="16"/>
  <c r="F61" i="16"/>
  <c r="F64" i="16"/>
  <c r="B61" i="16"/>
  <c r="E63" i="16"/>
  <c r="D65" i="16"/>
  <c r="D63" i="16"/>
  <c r="C64" i="16"/>
  <c r="B63" i="16"/>
  <c r="F63" i="16"/>
  <c r="F65" i="16"/>
  <c r="E65" i="16"/>
  <c r="B62" i="16"/>
  <c r="B65" i="16"/>
  <c r="C63" i="16"/>
  <c r="D62" i="16"/>
  <c r="C61" i="16"/>
  <c r="C62" i="16"/>
  <c r="E61" i="16"/>
  <c r="D61" i="16"/>
  <c r="D64" i="16"/>
  <c r="B35" i="17" l="1"/>
  <c r="B43" i="16"/>
  <c r="B45" i="16" s="1"/>
  <c r="B47" i="16" s="1"/>
  <c r="B74" i="16"/>
  <c r="B75" i="16" s="1"/>
  <c r="B77" i="16" s="1"/>
  <c r="B78" i="16" s="1"/>
  <c r="H17" i="7"/>
  <c r="H15" i="12"/>
  <c r="B22" i="5" l="1"/>
  <c r="C22" i="5" s="1"/>
  <c r="F35" i="1"/>
  <c r="B17" i="5"/>
  <c r="C17" i="5" s="1"/>
  <c r="B34" i="17"/>
  <c r="B35" i="1"/>
  <c r="B79" i="16"/>
  <c r="B80" i="16" s="1"/>
  <c r="Q3" i="1"/>
  <c r="H21" i="11"/>
  <c r="F15" i="18"/>
  <c r="H13" i="13"/>
  <c r="H28" i="12"/>
  <c r="H8" i="13"/>
  <c r="H23" i="11"/>
  <c r="H21" i="12"/>
  <c r="H29" i="12" s="1"/>
  <c r="Q4" i="1"/>
  <c r="D35" i="1"/>
  <c r="H25" i="11" l="1"/>
  <c r="H24" i="8"/>
  <c r="H25" i="8" s="1"/>
  <c r="H15" i="13"/>
  <c r="H30" i="12"/>
  <c r="F17" i="18"/>
  <c r="F20" i="18" s="1"/>
  <c r="F21" i="18"/>
  <c r="F22" i="18" s="1"/>
  <c r="H27" i="11" l="1"/>
  <c r="H28" i="11" s="1"/>
  <c r="H30" i="11" l="1"/>
  <c r="H32" i="11" s="1"/>
  <c r="H11" i="11" s="1"/>
  <c r="F23" i="18" l="1"/>
  <c r="H27" i="12"/>
  <c r="H15" i="8"/>
  <c r="H17" i="8" s="1"/>
  <c r="B15" i="5"/>
  <c r="C15" i="5" s="1"/>
  <c r="H31" i="11"/>
  <c r="H7" i="11"/>
  <c r="H20" i="12" s="1"/>
  <c r="H23" i="12" s="1"/>
  <c r="H10" i="11" l="1"/>
  <c r="H8" i="11"/>
  <c r="H26" i="8" s="1"/>
  <c r="H29" i="8" s="1"/>
  <c r="H9" i="11"/>
  <c r="H30" i="8" s="1"/>
  <c r="H33" i="11"/>
  <c r="H25" i="12"/>
  <c r="B13" i="5"/>
  <c r="C13" i="5" s="1"/>
  <c r="H19" i="8"/>
  <c r="H33" i="8" l="1"/>
  <c r="H12" i="11"/>
  <c r="H13" i="11"/>
  <c r="H34" i="8"/>
  <c r="H12" i="13" s="1"/>
  <c r="F9" i="18"/>
  <c r="F12" i="18" s="1"/>
  <c r="H10" i="13"/>
  <c r="F10" i="18" l="1"/>
  <c r="F13" i="18" s="1"/>
  <c r="H9" i="13"/>
  <c r="H35" i="8"/>
  <c r="H36" i="8" s="1"/>
  <c r="H37" i="8" s="1"/>
  <c r="B11" i="5" s="1"/>
  <c r="C11" i="5" s="1"/>
  <c r="Q14" i="1" l="1"/>
  <c r="T10" i="1"/>
</calcChain>
</file>

<file path=xl/sharedStrings.xml><?xml version="1.0" encoding="utf-8"?>
<sst xmlns="http://schemas.openxmlformats.org/spreadsheetml/2006/main" count="882" uniqueCount="621">
  <si>
    <t>Tata Steel Ltd. — Integrated Three-Statement Model</t>
  </si>
  <si>
    <t>Consolidated | ₹ crore unless otherwise stated</t>
  </si>
  <si>
    <t>Method</t>
  </si>
  <si>
    <t>Implied Price</t>
  </si>
  <si>
    <t>DCF - Perpetuity</t>
  </si>
  <si>
    <t>Project objective</t>
  </si>
  <si>
    <t>Build a source-backed operating model linking historical performance, forecast drivers, statements and checks.</t>
  </si>
  <si>
    <t>DCF - Exit Multiple</t>
  </si>
  <si>
    <t>Historical period</t>
  </si>
  <si>
    <t>FY2022–FY2026</t>
  </si>
  <si>
    <t>Comps - EV/EBITDA</t>
  </si>
  <si>
    <t>Forecast period</t>
  </si>
  <si>
    <t>FY2027E–FY2031E</t>
  </si>
  <si>
    <t>Comps - EV/tonne</t>
  </si>
  <si>
    <t>Company</t>
  </si>
  <si>
    <t>Tata Steel Limited — Consolidated</t>
  </si>
  <si>
    <t>Current Price</t>
  </si>
  <si>
    <t>Model stage</t>
  </si>
  <si>
    <t>Integrated three-statement, valuation and credit underwriting model</t>
  </si>
  <si>
    <t>Next build</t>
  </si>
  <si>
    <t>FY2026A baseline | Q1 FY2027 calibration | FY2027E-FY2031E</t>
  </si>
  <si>
    <t>Year</t>
  </si>
  <si>
    <t>Net Debt / EBITDA</t>
  </si>
  <si>
    <t>FY29E</t>
  </si>
  <si>
    <t>FY30E</t>
  </si>
  <si>
    <t>FY31E</t>
  </si>
  <si>
    <t>Primary sources</t>
  </si>
  <si>
    <t>Tata Steel Integrated Reports / Annual Accounts</t>
  </si>
  <si>
    <t>FY27E</t>
  </si>
  <si>
    <t>Use cases</t>
  </si>
  <si>
    <t>Financial modelling, DCF valuation, credit underwriting</t>
  </si>
  <si>
    <t>FY28E</t>
  </si>
  <si>
    <t>Units</t>
  </si>
  <si>
    <t>₹ crore; production/deliveries in MT</t>
  </si>
  <si>
    <t>Historical Performance Snapshot</t>
  </si>
  <si>
    <t>Metric</t>
  </si>
  <si>
    <t>FY2022</t>
  </si>
  <si>
    <t>FY2023</t>
  </si>
  <si>
    <t>FY2024</t>
  </si>
  <si>
    <t>FY2025</t>
  </si>
  <si>
    <t>FY2026</t>
  </si>
  <si>
    <t>Revenue / Turnover</t>
  </si>
  <si>
    <t>EBITDA</t>
  </si>
  <si>
    <t>EBITDA Margin</t>
  </si>
  <si>
    <t>Reported PAT</t>
  </si>
  <si>
    <t>Production (MT)</t>
  </si>
  <si>
    <t>Deliveries (MT)</t>
  </si>
  <si>
    <t>Model Readiness</t>
  </si>
  <si>
    <t>Calculation integrity</t>
  </si>
  <si>
    <t>Mechanical checks expanded: BS tie, cash tie, debt tie, valuation sanity and downside covenant tests</t>
  </si>
  <si>
    <t>Decision readiness</t>
  </si>
  <si>
    <t>Public-source analytical model — assumptions and limitations are identified in the model and source register</t>
  </si>
  <si>
    <t>Why this matters</t>
  </si>
  <si>
    <t>Q1 FY27 actuals incorporated as a calibration checkpoint; peer market data should be refreshed before external use</t>
  </si>
  <si>
    <t>Source posture</t>
  </si>
  <si>
    <t>Headline historical metrics sourced to official Tata Steel annual reports.</t>
  </si>
  <si>
    <t>Valuation Snapshot</t>
  </si>
  <si>
    <t>Value</t>
  </si>
  <si>
    <t>Current price</t>
  </si>
  <si>
    <t>WACC</t>
  </si>
  <si>
    <t>Terminal growth</t>
  </si>
  <si>
    <t>Reverse DCF g</t>
  </si>
  <si>
    <t>Peer median EV/EBITDA</t>
  </si>
  <si>
    <t>Read-through</t>
  </si>
  <si>
    <t>Current price is above both DCF approaches and is supported primarily by normalized trading-comps evidence; reverse DCF shows the market requires substantially stronger terminal economics than the conservative base case.</t>
  </si>
  <si>
    <t>Credit Snapshot</t>
  </si>
  <si>
    <t>Q1 FY27 net debt</t>
  </si>
  <si>
    <t>Q1 FY27 liquidity</t>
  </si>
  <si>
    <t>FY27E net leverage</t>
  </si>
  <si>
    <t>Base / FY27E</t>
  </si>
  <si>
    <t>Bear</t>
  </si>
  <si>
    <t>Liquidity Stress</t>
  </si>
  <si>
    <t>Maintenance DSCR</t>
  </si>
  <si>
    <t>Credit posture</t>
  </si>
  <si>
    <t>Proceed to diligence / conditional approval; contractual debt maturities and facility terms remain required.</t>
  </si>
  <si>
    <t>Historical Operating Spread</t>
  </si>
  <si>
    <t>Tata Steel Consolidated | FY2022–FY2026</t>
  </si>
  <si>
    <t>FY2022A</t>
  </si>
  <si>
    <t>FY2023A</t>
  </si>
  <si>
    <t>FY2024A</t>
  </si>
  <si>
    <t>FY2025A</t>
  </si>
  <si>
    <t>FY2026A</t>
  </si>
  <si>
    <t>Operating Metrics</t>
  </si>
  <si>
    <t>Delivery growth</t>
  </si>
  <si>
    <t>Turnover</t>
  </si>
  <si>
    <t>Revenue growth</t>
  </si>
  <si>
    <t>Revenue / tonne (₹/t)</t>
  </si>
  <si>
    <t>EBITDA margin</t>
  </si>
  <si>
    <t>Balance Sheet / Cash Flow Headline Metrics</t>
  </si>
  <si>
    <t>Net debt</t>
  </si>
  <si>
    <t>Net debt / EBITDA</t>
  </si>
  <si>
    <t>Cash generated / operating cash flow</t>
  </si>
  <si>
    <t>Capital expenditure</t>
  </si>
  <si>
    <t>Free cash flow</t>
  </si>
  <si>
    <t>Forecast Assumptions</t>
  </si>
  <si>
    <t>Editable inputs are blue text with yellow fill</t>
  </si>
  <si>
    <t>Driver</t>
  </si>
  <si>
    <t>FY2027E</t>
  </si>
  <si>
    <t>FY2028E</t>
  </si>
  <si>
    <t>FY2029E</t>
  </si>
  <si>
    <t>FY2030E</t>
  </si>
  <si>
    <t>FY2031E</t>
  </si>
  <si>
    <t>Operating Assumptions</t>
  </si>
  <si>
    <t>Revenue / tonne growth</t>
  </si>
  <si>
    <t>D&amp;A as % of revenue</t>
  </si>
  <si>
    <t>Effective tax rate</t>
  </si>
  <si>
    <t>Capex as % of revenue</t>
  </si>
  <si>
    <t>Working Capital / Financing Assumptions</t>
  </si>
  <si>
    <t>Net working capital as % of revenue</t>
  </si>
  <si>
    <t>Interest expense as % of opening net debt</t>
  </si>
  <si>
    <t>Dividend payout as % of PAT</t>
  </si>
  <si>
    <t>Minimum cash / liquidity assumption</t>
  </si>
  <si>
    <t>Cash sweep % of excess cash</t>
  </si>
  <si>
    <t>Finance income yield on opening cash</t>
  </si>
  <si>
    <t>Integrated Forecast Engine</t>
  </si>
  <si>
    <t>FY2027E–FY2031E | Simplified Phase 1 linkage</t>
  </si>
  <si>
    <t>Income Statement</t>
  </si>
  <si>
    <t>Revenue</t>
  </si>
  <si>
    <t>D&amp;A</t>
  </si>
  <si>
    <t>EBIT</t>
  </si>
  <si>
    <t>Interest expense</t>
  </si>
  <si>
    <t>EBT</t>
  </si>
  <si>
    <t>Taxes</t>
  </si>
  <si>
    <t>Net income</t>
  </si>
  <si>
    <t>Cash Flow / Debt Bridge</t>
  </si>
  <si>
    <t>Cash taxes</t>
  </si>
  <si>
    <t>Change in NWC</t>
  </si>
  <si>
    <t>Free cash flow before financing</t>
  </si>
  <si>
    <t>Opening net debt</t>
  </si>
  <si>
    <t>Debt reduction / (increase)</t>
  </si>
  <si>
    <t>Closing net debt</t>
  </si>
  <si>
    <t>Model Checks</t>
  </si>
  <si>
    <t>Mechanical integrity checks; source completeness assessed separately</t>
  </si>
  <si>
    <t>Check</t>
  </si>
  <si>
    <t>Result</t>
  </si>
  <si>
    <t>Status</t>
  </si>
  <si>
    <t>FY2026 EBITDA margin agrees to historical</t>
  </si>
  <si>
    <t>FY2026 PAT agrees to historical</t>
  </si>
  <si>
    <t>FY27 balance sheet balances</t>
  </si>
  <si>
    <t>FY28 balance sheet balances</t>
  </si>
  <si>
    <t>FY29 balance sheet balances</t>
  </si>
  <si>
    <t>FY30 balance sheet balances</t>
  </si>
  <si>
    <t>FY31 balance sheet balances</t>
  </si>
  <si>
    <t>FY27 cash flow ties to ending cash</t>
  </si>
  <si>
    <t>FY31 cash flow ties to ending cash</t>
  </si>
  <si>
    <t>FY27 net debt ties</t>
  </si>
  <si>
    <t>Minimum cash maintained</t>
  </si>
  <si>
    <t>Base WACC exceeds terminal growth</t>
  </si>
  <si>
    <t>Reverse DCF implied g &lt; WACC</t>
  </si>
  <si>
    <t>Bear leverage covenant headroom</t>
  </si>
  <si>
    <t>Bear DSCR covenant headroom</t>
  </si>
  <si>
    <t>Liquidity-stress DSCR headroom</t>
  </si>
  <si>
    <t>DCF discount-factor linkage</t>
  </si>
  <si>
    <t>Reverse DCF terminal-growth realism</t>
  </si>
  <si>
    <t>Source Register</t>
  </si>
  <si>
    <t>Official Tata Steel sources used in Phase 1</t>
  </si>
  <si>
    <t>Period</t>
  </si>
  <si>
    <t>Source</t>
  </si>
  <si>
    <t>Metrics used</t>
  </si>
  <si>
    <t>URL</t>
  </si>
  <si>
    <t>Notes</t>
  </si>
  <si>
    <t>Integrated Report 2021-22</t>
  </si>
  <si>
    <t>Turnover, EBITDA, PAT, production, deliveries, CFO, net debt</t>
  </si>
  <si>
    <t>https://www.tatasteel.com/investors/integrated-report-2021-22/index.html</t>
  </si>
  <si>
    <t>Official</t>
  </si>
  <si>
    <t>Integrated Report 2022-23</t>
  </si>
  <si>
    <t>https://www.tatasteel.com/investors/integrated-report-2022-23/index.html</t>
  </si>
  <si>
    <t>Integrated Report 2023-24</t>
  </si>
  <si>
    <t>Turnover, EBITDA, PAT, production, deliveries</t>
  </si>
  <si>
    <t>https://www.tatasteel.com/investors/integrated-report-2023-24/performance-snapshot.html</t>
  </si>
  <si>
    <t>Integrated Report 2024-25</t>
  </si>
  <si>
    <t>Turnover, EBITDA, PAT, production, deliveries, net debt</t>
  </si>
  <si>
    <t>https://www.tatasteel.com/investors/integrated-report-2024-25/index.html</t>
  </si>
  <si>
    <t>Integrated Report 2025-26</t>
  </si>
  <si>
    <t>Turnover, EBITDA, PAT, production, deliveries, CFO, capex, FCF</t>
  </si>
  <si>
    <t>https://www.tatasteel.com/investors/integrated-report-2025-26/index.html</t>
  </si>
  <si>
    <t>FY2026 detailed P&amp;L</t>
  </si>
  <si>
    <t>Tata Steel FY2026 consolidated financial results</t>
  </si>
  <si>
    <t>Revenue, EBITDA, finance costs, D&amp;A, PBT, tax, PAT</t>
  </si>
  <si>
    <t>https://www.tatasteel.com/investors/financial-performance/financial-results/</t>
  </si>
  <si>
    <t>Audited</t>
  </si>
  <si>
    <t>FY2026 balance sheet</t>
  </si>
  <si>
    <t>Assets, equity, borrowings, liabilities</t>
  </si>
  <si>
    <t>https://www.tatasteel.com/investors/integrated-reportannual-report/integrated-report-annual-accounts-2025-26-119th-year-and-related-documents/</t>
  </si>
  <si>
    <t>FY2026 cash flow</t>
  </si>
  <si>
    <t>CFO, capex, investing and financing cash flows</t>
  </si>
  <si>
    <t>FY2027 capex guidance</t>
  </si>
  <si>
    <t>Tata Steel FY2026 Financial Capital</t>
  </si>
  <si>
    <t>~₹20,000 crore planned capex</t>
  </si>
  <si>
    <t>https://www.tatasteel.com/investors/integrated-report-2025-26/financial-capital.html</t>
  </si>
  <si>
    <t>Management guidance</t>
  </si>
  <si>
    <t>FY2026 leverage</t>
  </si>
  <si>
    <t>Net debt ₹80,144 crore; net debt/EBITDA ~2.3x</t>
  </si>
  <si>
    <t>Official company source</t>
  </si>
  <si>
    <t>FY26 capacity</t>
  </si>
  <si>
    <t>Tata Steel FY2026 Manufactured Capital</t>
  </si>
  <si>
    <t>36 MTPA consolidated capacity; India/Europe asset base</t>
  </si>
  <si>
    <t>https://www.tatasteel.com/investors/integrated-report-2025-26/manufactured-capital.html</t>
  </si>
  <si>
    <t>Primary</t>
  </si>
  <si>
    <t>FY27 capex</t>
  </si>
  <si>
    <t>~₹20,000cr FY27 capex; &gt;60% India</t>
  </si>
  <si>
    <t>Cost program</t>
  </si>
  <si>
    <t>₹7,100cr additional FY27 savings target</t>
  </si>
  <si>
    <t>Raw materials</t>
  </si>
  <si>
    <t>Tata Steel FY2026 Natural Capital</t>
  </si>
  <si>
    <t>100% India iron ore captive; ~25% clean coal captive</t>
  </si>
  <si>
    <t>https://www.tatasteel.com/investors/integrated-report-2025-26/natural-capital.html</t>
  </si>
  <si>
    <t>India demand</t>
  </si>
  <si>
    <t>Tata Steel FY2026 Opportunities</t>
  </si>
  <si>
    <t>India steel consumption projected +8–9% in 2026</t>
  </si>
  <si>
    <t>https://www.tatasteel.com/investors/integrated-report-2025-26/opportunities.html</t>
  </si>
  <si>
    <t>Risk-free rate</t>
  </si>
  <si>
    <t>Reuters / India bond market</t>
  </si>
  <si>
    <t>India 10Y ~6.87% around 24 Aug 2026</t>
  </si>
  <si>
    <t>https://www.reuters.com/business/us-based-invesco-bullish-india-debt-prefers-long-term-bonds-fund-manager-says-2026-08-24/</t>
  </si>
  <si>
    <t>Secondary</t>
  </si>
  <si>
    <t>ERP</t>
  </si>
  <si>
    <t>Aswath Damodaran Jan-2026 country risk data</t>
  </si>
  <si>
    <t>India ERP 6.06% using sovereign-CDS method</t>
  </si>
  <si>
    <t>https://pages.stern.nyu.edu/adamodar/New_Home_Page/datafile/ctryprem.htm</t>
  </si>
  <si>
    <t>Secondary / methodology</t>
  </si>
  <si>
    <t>Market price</t>
  </si>
  <si>
    <t>MarketWatch 26 Aug 2026</t>
  </si>
  <si>
    <t>Tata Steel ₹188.45</t>
  </si>
  <si>
    <t>https://www.marketwatch.com/story/tata-steel-advances-wednesday-outperforms-market-a8c3689c-8f67cb971784</t>
  </si>
  <si>
    <t>Peer screen</t>
  </si>
  <si>
    <t>Screener.in Aug 2026</t>
  </si>
  <si>
    <t>JSW Steel, Jindal Steel, SAIL market data / FY26 financials</t>
  </si>
  <si>
    <t>https://www.screener.in/</t>
  </si>
  <si>
    <t>Secondary; refresh before external use</t>
  </si>
  <si>
    <t>Q1 FY27 actual</t>
  </si>
  <si>
    <t>Tata Steel Q1 FY27 earnings release</t>
  </si>
  <si>
    <t>Revenue ₹60,794cr; EBITDA ₹9,370cr; deliveries 7.27MT; net debt ₹84,173cr; liquidity ₹45,950cr</t>
  </si>
  <si>
    <t>https://www.tatasteel.com/newsroom/press-releases/india/2026/tata-steel-reports-consolidated-ebitda-of-rs-9-370-crores-for-the-quarter-ended-june-30-2026/</t>
  </si>
  <si>
    <t>India steel demand</t>
  </si>
  <si>
    <t>worldsteel Short Range Outlook Apr-2026</t>
  </si>
  <si>
    <t>India demand +7.4% 2026 and +9.2% 2027</t>
  </si>
  <si>
    <t>https://worldsteel.org/media/press-releases/2026/worldsteel-short-range-outlook-april-2026/</t>
  </si>
  <si>
    <t>Primary industry</t>
  </si>
  <si>
    <t>NINL capex</t>
  </si>
  <si>
    <t>4.8 MTPA NINL expansion approved at estimated ₹33,873cr</t>
  </si>
  <si>
    <t>FY27 capex guidance</t>
  </si>
  <si>
    <t>Working capital methodology</t>
  </si>
  <si>
    <t>Analyst calculation</t>
  </si>
  <si>
    <t>DSO = AR / Revenue ×365; DIO/DPO use cash operating cost proxy (Revenue-EBITDA) because detailed COGS/purchases schedule is not separately forecast</t>
  </si>
  <si>
    <t>Internal methodology</t>
  </si>
  <si>
    <t>Assumption / model method</t>
  </si>
  <si>
    <t>Debt sweep methodology</t>
  </si>
  <si>
    <t>Retains minimum ₹13,000cr cash and sweeps only 25-40% of excess cash, rather than assuming full FCF debt reduction</t>
  </si>
  <si>
    <t>Assumption / lender conservatism</t>
  </si>
  <si>
    <t>JSW FY26</t>
  </si>
  <si>
    <t>JSW Steel Integrated Annual Report 2025-26</t>
  </si>
  <si>
    <t>Revenue ₹185,470cr; adjusted EBITDA ₹32,048cr; production 30.14MT; net debt ₹53,870cr</t>
  </si>
  <si>
    <t>https://www.jswsteel.in/jsw-steel-annual-report-2025-26/financial-performance-review.html</t>
  </si>
  <si>
    <t>JSW leverage</t>
  </si>
  <si>
    <t>JSW Steel FY26 Investment Case</t>
  </si>
  <si>
    <t>Net debt ₹53,870cr; ND/EBITDA 1.81x</t>
  </si>
  <si>
    <t>https://www.jswsteel.in/jsw-steel-annual-report-2025-26/investment-case.html</t>
  </si>
  <si>
    <t>Jindal FY26</t>
  </si>
  <si>
    <t>Jindal Steel Q4 FY26 earnings presentation</t>
  </si>
  <si>
    <t>Adjusted EBITDA ₹9,099cr; production 9.25MT; ND/EBITDA 0.43x</t>
  </si>
  <si>
    <t>https://docs.jindalsteel.in/document/124/1777973735_JindalSteel-Q4FY26EarningsPresentation.pdf</t>
  </si>
  <si>
    <t>SAIL FY26</t>
  </si>
  <si>
    <t>SAIL FY26 results</t>
  </si>
  <si>
    <t>Revenue ₹110,810cr; EBITDA ₹13,146cr; crude steel production 19.43MT</t>
  </si>
  <si>
    <t>https://www.sail.co.in/en/sail-news/sail-declares-financial-results-q4-and-fy26</t>
  </si>
  <si>
    <t>Tata market</t>
  </si>
  <si>
    <t>MarketWatch 26-Aug-2026</t>
  </si>
  <si>
    <t>Tata Steel price ₹188.45</t>
  </si>
  <si>
    <t>Peer market data</t>
  </si>
  <si>
    <t>Screener Aug-2026</t>
  </si>
  <si>
    <t>Market caps / P-E reference for JSW, Jindal Steel, SAIL and Tata Steel</t>
  </si>
  <si>
    <t>Reverse DCF</t>
  </si>
  <si>
    <t>Solves for terminal growth rate that reconciles current enterprise value with forecast FCFF at base WACC</t>
  </si>
  <si>
    <t>Credit DSCR</t>
  </si>
  <si>
    <t>Analyst methodology</t>
  </si>
  <si>
    <t>CFADS = CFO before cash interest - maintenance capex; debt service = cash interest + assumed 10% scheduled principal</t>
  </si>
  <si>
    <t>Screening proxy; contractual amortization unavailable</t>
  </si>
  <si>
    <t>Stress WC</t>
  </si>
  <si>
    <t>Analyst assumption</t>
  </si>
  <si>
    <t>Base ₹400cr; Bear ₹5,000cr; Liquidity stress ₹8,000cr working-capital outflow</t>
  </si>
  <si>
    <t>Internal assumption</t>
  </si>
  <si>
    <t>Designed to capture inventory / supply-chain stress</t>
  </si>
  <si>
    <t>Through-cycle leverage</t>
  </si>
  <si>
    <t>Management stated net debt/EBITDA 2.3x, below stated 2.5-3.0x through-cycle range</t>
  </si>
  <si>
    <t>Liquidity</t>
  </si>
  <si>
    <t>Group liquidity ₹45,950cr including cash/equivalents ₹13,221cr</t>
  </si>
  <si>
    <t>Beta / market price</t>
  </si>
  <si>
    <t>Moneycontrol 26-Aug-2026</t>
  </si>
  <si>
    <t>Tata Steel price ₹188.45; published beta 1.13; market cap ~₹234,703cr</t>
  </si>
  <si>
    <t>https://www.moneycontrol.com/india/stockpricequote/ironsteel/tatasteel/TIS</t>
  </si>
  <si>
    <t>Secondary market source</t>
  </si>
  <si>
    <t>Reuters 24-Aug-2026</t>
  </si>
  <si>
    <t>India 10-year government bond yield ~6.87%</t>
  </si>
  <si>
    <t>WACC methodology</t>
  </si>
  <si>
    <t>CAPM cost of equity + after-tax debt cost weighted using current market equity and FY26 gross debt</t>
  </si>
  <si>
    <t>Formula-driven</t>
  </si>
  <si>
    <t>Tata Steel Consolidated | ₹ crore | Audited FY2025–FY2026 + forecast FY2027E–FY2031E</t>
  </si>
  <si>
    <t>Particulars</t>
  </si>
  <si>
    <t>Revenue from operations</t>
  </si>
  <si>
    <t>EBITDA / segment result</t>
  </si>
  <si>
    <t>Finance income</t>
  </si>
  <si>
    <t>Finance costs</t>
  </si>
  <si>
    <t>Depreciation &amp; amortisation</t>
  </si>
  <si>
    <t>Share of JV / associates</t>
  </si>
  <si>
    <t>Exceptional items</t>
  </si>
  <si>
    <t>Profit before tax</t>
  </si>
  <si>
    <t>Tax expense</t>
  </si>
  <si>
    <t>Net profit</t>
  </si>
  <si>
    <t>Balance Sheet</t>
  </si>
  <si>
    <t>Tata Steel Consolidated | ₹ crore | Audited FY2025–FY2026 + forecast</t>
  </si>
  <si>
    <t>Assets</t>
  </si>
  <si>
    <t>PP&amp;E</t>
  </si>
  <si>
    <t>Capital work-in-progress</t>
  </si>
  <si>
    <t>Right-of-use assets</t>
  </si>
  <si>
    <t>Goodwill &amp; intangibles</t>
  </si>
  <si>
    <t>Other non-current assets</t>
  </si>
  <si>
    <t>Total non-current assets</t>
  </si>
  <si>
    <t>Inventories</t>
  </si>
  <si>
    <t>Trade receivables</t>
  </si>
  <si>
    <t>Cash &amp; cash equivalents</t>
  </si>
  <si>
    <t>Other current assets</t>
  </si>
  <si>
    <t>Total current assets</t>
  </si>
  <si>
    <t>Assets held for sale</t>
  </si>
  <si>
    <t>Total assets</t>
  </si>
  <si>
    <t>Equity &amp; Liabilities</t>
  </si>
  <si>
    <t>Share capital</t>
  </si>
  <si>
    <t>Other equity + NCI</t>
  </si>
  <si>
    <t>Total equity</t>
  </si>
  <si>
    <t>Non-current borrowings</t>
  </si>
  <si>
    <t>Lease liabilities - non-current</t>
  </si>
  <si>
    <t>Other non-current liabilities</t>
  </si>
  <si>
    <t>Total non-current liabilities</t>
  </si>
  <si>
    <t>Current borrowings</t>
  </si>
  <si>
    <t>Lease liabilities - current</t>
  </si>
  <si>
    <t>Trade payables &amp; acceptances</t>
  </si>
  <si>
    <t>Other current liabilities</t>
  </si>
  <si>
    <t>Total current liabilities</t>
  </si>
  <si>
    <t>Total liabilities</t>
  </si>
  <si>
    <t>Total equity &amp; liabilities</t>
  </si>
  <si>
    <t>Balance check</t>
  </si>
  <si>
    <t>Working Capital Schedule</t>
  </si>
  <si>
    <t>Driver-based forecast | ₹ crore / days</t>
  </si>
  <si>
    <t>Cash operating costs</t>
  </si>
  <si>
    <t>Inventory</t>
  </si>
  <si>
    <t>DIO</t>
  </si>
  <si>
    <t>DSO</t>
  </si>
  <si>
    <t>DPO</t>
  </si>
  <si>
    <t>Net operating working capital</t>
  </si>
  <si>
    <t>Cash release / (use)</t>
  </si>
  <si>
    <t>PP&amp;E &amp; Depreciation Schedule</t>
  </si>
  <si>
    <t>₹ crore | capex and depreciation linked to assumptions</t>
  </si>
  <si>
    <t>Opening PP&amp;E</t>
  </si>
  <si>
    <t>Opening CWIP</t>
  </si>
  <si>
    <t>Total capex</t>
  </si>
  <si>
    <t>Maintenance capex</t>
  </si>
  <si>
    <t>Expansion capex</t>
  </si>
  <si>
    <t>Capitalised expansion from CWIP</t>
  </si>
  <si>
    <t>Closing PP&amp;E</t>
  </si>
  <si>
    <t>Closing CWIP</t>
  </si>
  <si>
    <t>D&amp;A / opening PP&amp;E</t>
  </si>
  <si>
    <t>PP&amp;E + CWIP</t>
  </si>
  <si>
    <t>Debt Schedule</t>
  </si>
  <si>
    <t>₹ crore | simplified debt roll-forward and interest schedule</t>
  </si>
  <si>
    <t>Opening borrowings</t>
  </si>
  <si>
    <t>Debt issuance / (repayment)</t>
  </si>
  <si>
    <t>Total borrowings</t>
  </si>
  <si>
    <t>Cash &amp; equivalents</t>
  </si>
  <si>
    <t>Net borrowings</t>
  </si>
  <si>
    <t>Net debt reported</t>
  </si>
  <si>
    <t>Finance cost</t>
  </si>
  <si>
    <t>Cash Retention &amp; Debt Sweep Mechanics</t>
  </si>
  <si>
    <t>Opening gross debt</t>
  </si>
  <si>
    <t>Opening cash</t>
  </si>
  <si>
    <t>Cash flow from operations</t>
  </si>
  <si>
    <t>Dividends</t>
  </si>
  <si>
    <t>Cash interest</t>
  </si>
  <si>
    <t>Pre-debt cash balance</t>
  </si>
  <si>
    <t>Minimum cash</t>
  </si>
  <si>
    <t>Excess / (deficit) cash</t>
  </si>
  <si>
    <t>New borrowing</t>
  </si>
  <si>
    <t>Cash sweep %</t>
  </si>
  <si>
    <t>Optional debt repayment</t>
  </si>
  <si>
    <t>Ending gross debt</t>
  </si>
  <si>
    <t>Ending cash</t>
  </si>
  <si>
    <t>Ending net debt</t>
  </si>
  <si>
    <t>Interest rate</t>
  </si>
  <si>
    <t>Cash Flow Statement</t>
  </si>
  <si>
    <t>Other non-cash / exceptional / JV adjustments</t>
  </si>
  <si>
    <t>Operating profit before WC</t>
  </si>
  <si>
    <t>Working capital changes</t>
  </si>
  <si>
    <t>Cash generated from operations</t>
  </si>
  <si>
    <t>Taxes paid</t>
  </si>
  <si>
    <t>Other investing activities</t>
  </si>
  <si>
    <t>Cash flow from investing</t>
  </si>
  <si>
    <t>Dividends paid</t>
  </si>
  <si>
    <t>Other financing / interest / lease</t>
  </si>
  <si>
    <t>Cash flow from financing</t>
  </si>
  <si>
    <t>FX effect</t>
  </si>
  <si>
    <t>Net change in cash</t>
  </si>
  <si>
    <t>Closing cash</t>
  </si>
  <si>
    <t>Cash available after dividends</t>
  </si>
  <si>
    <t>Financial Ratios &amp; Credit Metrics</t>
  </si>
  <si>
    <t>Profitability, liquidity, leverage and cash conversion</t>
  </si>
  <si>
    <t>Net margin</t>
  </si>
  <si>
    <t>Debt / EBITDA</t>
  </si>
  <si>
    <t>Interest coverage</t>
  </si>
  <si>
    <t>Current ratio</t>
  </si>
  <si>
    <t>CFO / EBITDA</t>
  </si>
  <si>
    <t>Capex / Revenue</t>
  </si>
  <si>
    <t>FCF / EBITDA</t>
  </si>
  <si>
    <t>Operating Driver Build</t>
  </si>
  <si>
    <t>Tata Steel Consolidated | FY2026A-FY2031E | volumes, realization and cost-cycle framework</t>
  </si>
  <si>
    <t>Volume &amp; Capacity</t>
  </si>
  <si>
    <t>Steelmaking capacity (MTPA)</t>
  </si>
  <si>
    <t>Implied utilization / delivery-to-capacity</t>
  </si>
  <si>
    <t>Rationale</t>
  </si>
  <si>
    <t>Reported consolidated capacity; India expansions and EAF ramp-up</t>
  </si>
  <si>
    <t>India demand upcycle; Kalinganagar/Ludhiana ramp</t>
  </si>
  <si>
    <t>Value-added mix and downstream ramp</t>
  </si>
  <si>
    <t>Moderating toward mid-cycle</t>
  </si>
  <si>
    <t>Normalized growth</t>
  </si>
  <si>
    <t>Realization &amp; Cost Cycle</t>
  </si>
  <si>
    <t>Realization growth</t>
  </si>
  <si>
    <t>Coking coal cost trend</t>
  </si>
  <si>
    <t>FY26 benefited from cost transformation</t>
  </si>
  <si>
    <t>+3% input pressure</t>
  </si>
  <si>
    <t>+1%</t>
  </si>
  <si>
    <t>0%</t>
  </si>
  <si>
    <t>Iron ore exposure</t>
  </si>
  <si>
    <t>India 100% captive iron ore</t>
  </si>
  <si>
    <t>Captive benefit maintained</t>
  </si>
  <si>
    <t>Maintained</t>
  </si>
  <si>
    <t>Cost transformation</t>
  </si>
  <si>
    <t>₹10,868cr FY26 benefits</t>
  </si>
  <si>
    <t>₹7,100cr additional target</t>
  </si>
  <si>
    <t>Partial structural retention</t>
  </si>
  <si>
    <t>Normalized</t>
  </si>
  <si>
    <t>Commentary</t>
  </si>
  <si>
    <t>Base case assumes volume-led growth, modest realization inflation and progressive margin normalization rather than peak-cycle pricing.</t>
  </si>
  <si>
    <t>Working Capital Drivers</t>
  </si>
  <si>
    <t>DSO (days)</t>
  </si>
  <si>
    <t>Inventory days (cash operating cost)</t>
  </si>
  <si>
    <t>DPO (days; cash operating cost)</t>
  </si>
  <si>
    <t>Model rule</t>
  </si>
  <si>
    <t>Receivables use revenue; inventory/payables use cash operating cost (= Revenue - EBITDA). Forecast days remain near FY26 to avoid assuming working-capital improvement without evidence.</t>
  </si>
  <si>
    <t>Q1 FY27 Calibration</t>
  </si>
  <si>
    <t>Q1 FY27 consolidated revenue</t>
  </si>
  <si>
    <t>Q1 FY27 consolidated EBITDA</t>
  </si>
  <si>
    <t>Q1 FY27 EBITDA margin</t>
  </si>
  <si>
    <t>Q1 FY27 deliveries (MT)</t>
  </si>
  <si>
    <t>Interpretation</t>
  </si>
  <si>
    <t>Q1 annualised revenue/EBITDA broadly supports the FY27 base case; maintenance shutdowns depressed volumes, while management expects normalisation in subsequent quarters.</t>
  </si>
  <si>
    <t>DCF Valuation</t>
  </si>
  <si>
    <t>FCFF | ₹ crore except per-share data | public-source assumptions</t>
  </si>
  <si>
    <t>FCFF Build</t>
  </si>
  <si>
    <t>Tax rate</t>
  </si>
  <si>
    <t>NOPAT</t>
  </si>
  <si>
    <t>FCFF</t>
  </si>
  <si>
    <t>Discount period</t>
  </si>
  <si>
    <t>PV factor</t>
  </si>
  <si>
    <t>PV of FCFF</t>
  </si>
  <si>
    <t>Levered beta</t>
  </si>
  <si>
    <t>Equity risk premium</t>
  </si>
  <si>
    <t>Cost of equity</t>
  </si>
  <si>
    <t>Pre-tax cost of debt</t>
  </si>
  <si>
    <t>After-tax cost of debt</t>
  </si>
  <si>
    <t>Equity value / market cap</t>
  </si>
  <si>
    <t>Debt</t>
  </si>
  <si>
    <t>E / V</t>
  </si>
  <si>
    <t>D / V</t>
  </si>
  <si>
    <t>Reference price</t>
  </si>
  <si>
    <t>Terminal Value &amp; Equity Bridge</t>
  </si>
  <si>
    <t>Perpetual growth rate</t>
  </si>
  <si>
    <t>Terminal EV / EBITDA</t>
  </si>
  <si>
    <t>Terminal FCFF</t>
  </si>
  <si>
    <t>Terminal EBITDA</t>
  </si>
  <si>
    <t>TV - Perpetuity Growth</t>
  </si>
  <si>
    <t>TV - Exit Multiple</t>
  </si>
  <si>
    <t>PV of explicit FCFF</t>
  </si>
  <si>
    <t>PV of TV - Perpetuity</t>
  </si>
  <si>
    <t>Enterprise Value - Perpetuity</t>
  </si>
  <si>
    <t>Less: Net debt</t>
  </si>
  <si>
    <t>Equity Value - Perpetuity</t>
  </si>
  <si>
    <t>Diluted shares outstanding (crore)</t>
  </si>
  <si>
    <t>Implied value / share</t>
  </si>
  <si>
    <t>5x5 Perpetuity Growth Sensitivity — Implied ₹/share</t>
  </si>
  <si>
    <t>5x5 Exit Multiple Sensitivity — Implied ₹/share</t>
  </si>
  <si>
    <t>Reverse DCF — Market-Implied Assumptions</t>
  </si>
  <si>
    <t>Current share price</t>
  </si>
  <si>
    <t>Diluted shares (crore)</t>
  </si>
  <si>
    <t>Current equity value</t>
  </si>
  <si>
    <t>Latest net debt (Q1 FY27)</t>
  </si>
  <si>
    <t>Current enterprise value</t>
  </si>
  <si>
    <t>PV of explicit FCFF @ base WACC</t>
  </si>
  <si>
    <t>Required PV of terminal value</t>
  </si>
  <si>
    <t>Terminal-year discount factor</t>
  </si>
  <si>
    <t>Required terminal value at FY31</t>
  </si>
  <si>
    <t>Market-implied terminal growth</t>
  </si>
  <si>
    <t>Base DCF implied share price</t>
  </si>
  <si>
    <t>Premium / (discount) of market vs base DCF</t>
  </si>
  <si>
    <t>Use of reverse DCF</t>
  </si>
  <si>
    <t>If market-implied g is materially above a defensible long-run nominal growth range, the share price is relying on stronger margins/cash conversion or a lower discount rate rather than terminal growth alone.</t>
  </si>
  <si>
    <t>Terminal value discipline</t>
  </si>
  <si>
    <t>For steel, terminal growth should generally remain below long-run nominal GDP and exit multiples should be normalized below peak-cycle spot multiples.</t>
  </si>
  <si>
    <t>Decision posture</t>
  </si>
  <si>
    <t>DCF is a valuation range, not a single-point answer. Compare Perpetuity, Exit Multiple, Trading Comps and EV/tonne before drawing a conclusion.</t>
  </si>
  <si>
    <t>Trading Comparables</t>
  </si>
  <si>
    <t>India-focused peer screen | current market data around Aug 2026 | ₹ crore</t>
  </si>
  <si>
    <t>Market Cap</t>
  </si>
  <si>
    <t>Net Debt / debt proxy</t>
  </si>
  <si>
    <t>Enterprise Value</t>
  </si>
  <si>
    <t>FY26 Revenue</t>
  </si>
  <si>
    <t>Normalized EBITDA</t>
  </si>
  <si>
    <t>EV/EBITDA</t>
  </si>
  <si>
    <t>EV/tonne (₹)</t>
  </si>
  <si>
    <t>P/E</t>
  </si>
  <si>
    <t>Tata Steel</t>
  </si>
  <si>
    <t>JSW Steel</t>
  </si>
  <si>
    <t>Jindal Steel</t>
  </si>
  <si>
    <t>SAIL</t>
  </si>
  <si>
    <t>Peer Statistics — Excluding Tata Steel</t>
  </si>
  <si>
    <t>Low</t>
  </si>
  <si>
    <t>Median</t>
  </si>
  <si>
    <t>High</t>
  </si>
  <si>
    <t>EV / EBITDA</t>
  </si>
  <si>
    <t>EV / tonne</t>
  </si>
  <si>
    <t>Comment</t>
  </si>
  <si>
    <t>P/E is secondary due to exceptional items / capital structure differences; EV/EBITDA and EV/tonne are the primary cross-checks.</t>
  </si>
  <si>
    <t>Selected Trading Valuation — Normalized</t>
  </si>
  <si>
    <t>Selected / Formula</t>
  </si>
  <si>
    <t>FY27E EBITDA</t>
  </si>
  <si>
    <t>Linked to operating model</t>
  </si>
  <si>
    <t>Selected EV / EBITDA</t>
  </si>
  <si>
    <t>Discount to peer median to reflect Tata's European transition, cyclical normalization and execution risk</t>
  </si>
  <si>
    <t>Implied EV - EV/EBITDA</t>
  </si>
  <si>
    <t>FY27E production / delivery proxy (MT)</t>
  </si>
  <si>
    <t>Uses forecast deliveries as throughput proxy</t>
  </si>
  <si>
    <t>Selected EV / tonne (₹)</t>
  </si>
  <si>
    <t>Close to Tata's current EV/tonne and below JSW/Jindal</t>
  </si>
  <si>
    <t>Implied EV - EV/tonne</t>
  </si>
  <si>
    <t>Latest net debt</t>
  </si>
  <si>
    <t>Q1 FY27 reported</t>
  </si>
  <si>
    <t>Implied equity value / share - EV/EBITDA</t>
  </si>
  <si>
    <t>Implied equity value / share - EV/tonne</t>
  </si>
  <si>
    <t>Valuation Football Field</t>
  </si>
  <si>
    <t>Implied ₹/share</t>
  </si>
  <si>
    <t>DCF - Perpetuity Growth</t>
  </si>
  <si>
    <t>Trading Comps - EV/EBITDA</t>
  </si>
  <si>
    <t>Trading Comps - EV/tonne</t>
  </si>
  <si>
    <t>Current Market Price</t>
  </si>
  <si>
    <t>Source Notes</t>
  </si>
  <si>
    <t>Market price 26-Aug-2026; Q1 FY27 net debt; FY26 EBITDA/production</t>
  </si>
  <si>
    <t>Market cap approx. 18-Aug-2026; FY26 net debt ₹53,870cr; adjusted EBITDA ₹32,048cr; production 30.14MT</t>
  </si>
  <si>
    <t>Market cap approx. 21-Aug-2026; FY26 adjusted EBITDA ₹9,099cr; production 9.25MT; net debt inferred from 0.43x ND/EBITDA</t>
  </si>
  <si>
    <t>Market cap approx. 21-25 Aug-2026; FY26 EBITDA ₹13,146cr; production 19.43MT; borrowings used as conservative net-debt proxy</t>
  </si>
  <si>
    <t>Comparability</t>
  </si>
  <si>
    <t>Peer dates and EBITDA definitions differ; use as a valuation range rather than a precise point estimate. Refresh market data before external circulation.</t>
  </si>
  <si>
    <t>Credit Underwriting &amp; Downside</t>
  </si>
  <si>
    <t>Lender case | ₹ crore | public-source screening model</t>
  </si>
  <si>
    <t>Gross debt</t>
  </si>
  <si>
    <t>EBIT / Interest</t>
  </si>
  <si>
    <t>CFO before cash interest</t>
  </si>
  <si>
    <t>CFADS (maintenance basis)</t>
  </si>
  <si>
    <t>Assumed scheduled principal (10% opening debt)</t>
  </si>
  <si>
    <t>Debt service</t>
  </si>
  <si>
    <t>DSCR (maintenance basis)</t>
  </si>
  <si>
    <t>Full-capex FCF before debt service</t>
  </si>
  <si>
    <t>DSCR after total capex</t>
  </si>
  <si>
    <t>Q1 FY27 reported net debt</t>
  </si>
  <si>
    <t>Q1 FY27 reported liquidity</t>
  </si>
  <si>
    <t>Covenant Framework</t>
  </si>
  <si>
    <t>Test</t>
  </si>
  <si>
    <t>Recommended level</t>
  </si>
  <si>
    <t>Maximum Net Debt / EBITDA</t>
  </si>
  <si>
    <t>3.50x</t>
  </si>
  <si>
    <t>Above current leverage but below a level that would materially erode cyclical headroom</t>
  </si>
  <si>
    <t>Minimum DSCR (maintenance basis)</t>
  </si>
  <si>
    <t>1.50x</t>
  </si>
  <si>
    <t>Measures recurring debt service after sustaining capex</t>
  </si>
  <si>
    <t>Minimum EBIT / cash interest</t>
  </si>
  <si>
    <t>2.50x</t>
  </si>
  <si>
    <t>Early-warning trigger for spread compression</t>
  </si>
  <si>
    <t>Minimum cash + committed liquidity</t>
  </si>
  <si>
    <t>₹25,000cr</t>
  </si>
  <si>
    <t>Compared with Q1 FY27 reported group liquidity of ₹45,950cr</t>
  </si>
  <si>
    <t>Growth capex / acquisitions</t>
  </si>
  <si>
    <t>Consent or leverage-incurrence test</t>
  </si>
  <si>
    <t>Prevents project spend or M&amp;A from consuming lender headroom</t>
  </si>
  <si>
    <t>Scenario Stress Test — FY27</t>
  </si>
  <si>
    <t>Scenario</t>
  </si>
  <si>
    <t>Revenue vs Base</t>
  </si>
  <si>
    <t>Total Capex vs Base</t>
  </si>
  <si>
    <t>Interest Rate</t>
  </si>
  <si>
    <t>WC Outflow</t>
  </si>
  <si>
    <t>CFADS</t>
  </si>
  <si>
    <t>DSCR</t>
  </si>
  <si>
    <t>Liquidity / Funding View</t>
  </si>
  <si>
    <t>Base</t>
  </si>
  <si>
    <t>No liquidity draw assumed; partial debt sweep only</t>
  </si>
  <si>
    <t>Bear / Severe Recession</t>
  </si>
  <si>
    <t>Likely draws on liquidity / capex deferral needed</t>
  </si>
  <si>
    <t>Peak maturity + working-capital stress; committed lines become key</t>
  </si>
  <si>
    <t>Underwriting Interpretation</t>
  </si>
  <si>
    <t>Maintenance-basis DSCR remains above the proposed 1.5x covenant, while full-capex DSCR is below 1.0x during the investment phase because growth capex is partly funded through retained liquidity / financing.</t>
  </si>
  <si>
    <t>The binding constraint is cash coverage: margin compression and working-capital outflow drive DSCR below 1.0x and push leverage above the proposed 3.5x limit.</t>
  </si>
  <si>
    <t>Higher capex, rates and working-capital absorption require committed liquidity even with positive EBITDA.</t>
  </si>
  <si>
    <t>Proceed to diligence / conditional approval only; final sizing requires debt maturities, committed facility terms, project capex timing and covenant definitions.</t>
  </si>
  <si>
    <t>Maintenance vs. Expansion Capex Build</t>
  </si>
  <si>
    <t>Tata Steel Consolidated | ₹ crore | FY27 guidance + analyst phasing FY28-FY31</t>
  </si>
  <si>
    <t>Capex / revenue</t>
  </si>
  <si>
    <t>Maintenance capex % revenue</t>
  </si>
  <si>
    <t>Expansion / transition capex</t>
  </si>
  <si>
    <t>India growth share of expansion</t>
  </si>
  <si>
    <t>India growth capex</t>
  </si>
  <si>
    <t>Europe / other growth capex</t>
  </si>
  <si>
    <t>Source / rationale</t>
  </si>
  <si>
    <t>FY27 total capex</t>
  </si>
  <si>
    <t>Management guidance ~₹20,000cr, &gt;60% India</t>
  </si>
  <si>
    <t>FY28-FY31</t>
  </si>
  <si>
    <t>Analyst assumptions reflecting NINL 4.8 MTPA project (₹33,873cr approved) plus UK/Netherlands transition and other growth projects; revise as project schedules become public.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</si>
</sst>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[Red]\(#,##0\);\-"/>
    <numFmt numFmtId="165" formatCode="0.0%;[Red]\(0.0%\);\-"/>
    <numFmt numFmtId="166" formatCode="0.0;[Red]\(0.0\);\-"/>
    <numFmt numFmtId="167" formatCode="0.0\x;[Red]\(0.0\x\);\-"/>
    <numFmt numFmtId="168" formatCode="0.0"/>
    <numFmt numFmtId="169" formatCode="0.000\x"/>
    <numFmt numFmtId="170" formatCode="\₹0.0;[Red]\(\₹0.0\);\-"/>
    <numFmt numFmtId="171" formatCode="0.00\x"/>
    <numFmt numFmtId="172" formatCode="\₹0.00"/>
    <numFmt numFmtId="173" formatCode="\₹#,##0;[Red]\(\₹#,##0\);\-"/>
    <numFmt numFmtId="174" formatCode="\₹#,##0"/>
    <numFmt numFmtId="175" formatCode="0.0%"/>
    <numFmt numFmtId="176" formatCode="0.0\x"/>
    <numFmt numFmtId="177" formatCode="0.000000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b/>
      <sz val="15"/>
      <color rgb="FFFFFFFF"/>
      <name val="Carlito"/>
    </font>
    <font>
      <sz val="11"/>
      <color rgb="FF000000"/>
      <name val="Carlito"/>
    </font>
    <font>
      <b/>
      <sz val="11"/>
      <color rgb="FF0000FF"/>
      <name val="Carlito"/>
    </font>
    <font>
      <b/>
      <sz val="11"/>
      <color rgb="FF00000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6" fontId="5" fillId="0" borderId="0" xfId="0" applyNumberFormat="1" applyFont="1"/>
    <xf numFmtId="164" fontId="5" fillId="0" borderId="0" xfId="0" applyNumberFormat="1" applyFont="1"/>
    <xf numFmtId="167" fontId="0" fillId="0" borderId="0" xfId="0" applyNumberFormat="1"/>
    <xf numFmtId="165" fontId="5" fillId="5" borderId="0" xfId="0" applyNumberFormat="1" applyFont="1" applyFill="1"/>
    <xf numFmtId="166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3" fillId="7" borderId="0" xfId="0" applyFont="1" applyFill="1"/>
    <xf numFmtId="165" fontId="5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0" fontId="7" fillId="8" borderId="0" xfId="0" applyFont="1" applyFill="1"/>
    <xf numFmtId="0" fontId="3" fillId="9" borderId="0" xfId="0" applyFont="1" applyFill="1"/>
    <xf numFmtId="0" fontId="4" fillId="8" borderId="0" xfId="0" applyFont="1" applyFill="1"/>
    <xf numFmtId="168" fontId="0" fillId="0" borderId="0" xfId="0" applyNumberFormat="1"/>
    <xf numFmtId="168" fontId="5" fillId="0" borderId="0" xfId="0" applyNumberFormat="1" applyFont="1"/>
    <xf numFmtId="165" fontId="5" fillId="10" borderId="0" xfId="0" applyNumberFormat="1" applyFont="1" applyFill="1"/>
    <xf numFmtId="165" fontId="0" fillId="0" borderId="0" xfId="0" applyNumberFormat="1" applyAlignment="1">
      <alignment wrapText="1"/>
    </xf>
    <xf numFmtId="165" fontId="5" fillId="10" borderId="0" xfId="0" applyNumberFormat="1" applyFont="1" applyFill="1" applyAlignment="1">
      <alignment wrapText="1"/>
    </xf>
    <xf numFmtId="169" fontId="0" fillId="0" borderId="0" xfId="0" applyNumberFormat="1"/>
    <xf numFmtId="164" fontId="5" fillId="10" borderId="0" xfId="0" applyNumberFormat="1" applyFont="1" applyFill="1"/>
    <xf numFmtId="170" fontId="0" fillId="0" borderId="0" xfId="0" applyNumberFormat="1"/>
    <xf numFmtId="2" fontId="0" fillId="0" borderId="0" xfId="0" applyNumberFormat="1"/>
    <xf numFmtId="165" fontId="5" fillId="5" borderId="0" xfId="0" applyNumberFormat="1" applyFont="1" applyFill="1" applyAlignment="1">
      <alignment wrapText="1"/>
    </xf>
    <xf numFmtId="166" fontId="5" fillId="12" borderId="0" xfId="0" applyNumberFormat="1" applyFont="1" applyFill="1"/>
    <xf numFmtId="165" fontId="5" fillId="12" borderId="0" xfId="0" applyNumberFormat="1" applyFont="1" applyFill="1"/>
    <xf numFmtId="164" fontId="5" fillId="12" borderId="0" xfId="0" applyNumberFormat="1" applyFont="1" applyFill="1"/>
    <xf numFmtId="0" fontId="3" fillId="13" borderId="0" xfId="0" applyFont="1" applyFill="1"/>
    <xf numFmtId="172" fontId="5" fillId="12" borderId="0" xfId="0" applyNumberFormat="1" applyFont="1" applyFill="1"/>
    <xf numFmtId="167" fontId="5" fillId="12" borderId="0" xfId="0" applyNumberFormat="1" applyFont="1" applyFill="1"/>
    <xf numFmtId="172" fontId="0" fillId="0" borderId="0" xfId="0" applyNumberFormat="1"/>
    <xf numFmtId="173" fontId="0" fillId="0" borderId="0" xfId="0" applyNumberFormat="1"/>
    <xf numFmtId="167" fontId="5" fillId="0" borderId="0" xfId="0" applyNumberFormat="1" applyFont="1"/>
    <xf numFmtId="174" fontId="0" fillId="0" borderId="0" xfId="0" applyNumberFormat="1"/>
    <xf numFmtId="174" fontId="5" fillId="12" borderId="0" xfId="0" applyNumberFormat="1" applyFont="1" applyFill="1"/>
    <xf numFmtId="0" fontId="4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71" fontId="5" fillId="12" borderId="0" xfId="0" applyNumberFormat="1" applyFont="1" applyFill="1"/>
    <xf numFmtId="175" fontId="0" fillId="0" borderId="0" xfId="0" applyNumberFormat="1"/>
    <xf numFmtId="176" fontId="0" fillId="0" borderId="0" xfId="0" applyNumberFormat="1"/>
    <xf numFmtId="0" fontId="3" fillId="0" borderId="0" xfId="0" applyFont="1" applyAlignment="1">
      <alignment wrapText="1"/>
    </xf>
    <xf numFmtId="167" fontId="8" fillId="14" borderId="0" xfId="0" applyNumberFormat="1" applyFont="1" applyFill="1" applyAlignment="1">
      <alignment wrapText="1"/>
    </xf>
    <xf numFmtId="167" fontId="8" fillId="14" borderId="0" xfId="0" applyNumberFormat="1" applyFont="1" applyFill="1"/>
    <xf numFmtId="164" fontId="8" fillId="14" borderId="0" xfId="0" applyNumberFormat="1" applyFont="1" applyFill="1" applyAlignment="1">
      <alignment wrapText="1"/>
    </xf>
    <xf numFmtId="164" fontId="8" fillId="14" borderId="0" xfId="0" applyNumberFormat="1" applyFont="1" applyFill="1"/>
    <xf numFmtId="164" fontId="10" fillId="14" borderId="0" xfId="0" applyNumberFormat="1" applyFont="1" applyFill="1" applyAlignment="1">
      <alignment wrapText="1"/>
    </xf>
    <xf numFmtId="177" fontId="0" fillId="0" borderId="0" xfId="0" applyNumberFormat="1"/>
    <xf numFmtId="0" fontId="1" fillId="2" borderId="0" xfId="0" applyFont="1" applyFill="1"/>
    <xf numFmtId="0" fontId="2" fillId="0" borderId="0" xfId="0" applyFont="1"/>
    <xf numFmtId="0" fontId="4" fillId="2" borderId="0" xfId="0" applyFont="1" applyFill="1"/>
    <xf numFmtId="0" fontId="4" fillId="11" borderId="0" xfId="0" applyFont="1" applyFill="1"/>
    <xf numFmtId="0" fontId="7" fillId="6" borderId="0" xfId="0" applyFont="1" applyFill="1"/>
    <xf numFmtId="0" fontId="4" fillId="6" borderId="0" xfId="0" applyFont="1" applyFill="1"/>
    <xf numFmtId="164" fontId="9" fillId="6" borderId="0" xfId="0" applyNumberFormat="1" applyFont="1" applyFill="1"/>
    <xf numFmtId="164" fontId="4" fillId="6" borderId="0" xfId="0" applyNumberFormat="1" applyFont="1" applyFill="1"/>
    <xf numFmtId="0" fontId="7" fillId="8" borderId="0" xfId="0" applyFont="1" applyFill="1" applyAlignment="1">
      <alignment wrapText="1"/>
    </xf>
    <xf numFmtId="0" fontId="7" fillId="8" borderId="0" xfId="0" applyFont="1" applyFill="1"/>
    <xf numFmtId="0" fontId="4" fillId="8" borderId="0" xfId="0" applyFont="1" applyFill="1"/>
    <xf numFmtId="0" fontId="0" fillId="0" borderId="0" xfId="0" applyAlignment="1">
      <alignment wrapText="1"/>
    </xf>
    <xf numFmtId="0" fontId="7" fillId="11" borderId="0" xfId="0" applyFont="1" applyFill="1"/>
    <xf numFmtId="167" fontId="4" fillId="11" borderId="0" xfId="0" applyNumberFormat="1" applyFont="1" applyFill="1"/>
    <xf numFmtId="164" fontId="10" fillId="14" borderId="0" xfId="0" applyNumberFormat="1" applyFont="1" applyFill="1"/>
    <xf numFmtId="0" fontId="4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5" fontId="5" fillId="5" borderId="0" xfId="0" applyNumberFormat="1" applyFont="1" applyFill="1" applyAlignment="1">
      <alignment wrapText="1"/>
    </xf>
    <xf numFmtId="171" fontId="5" fillId="5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/>
  </cellXfs>
  <cellStyles count="1">
    <cellStyle name="Normal" xfId="0" builtinId="0"/>
  </cellStyles>
  <dxfs count="4"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Valuation Range — ₹/Share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Implied Price</c:v>
          </c:tx>
          <c:invertIfNegative val="1"/>
          <c:cat>
            <c:strRef>
              <c:f>'Executive Summary'!$P$3:$P$7</c:f>
              <c:strCache>
                <c:ptCount val="5"/>
                <c:pt idx="0">
                  <c:v>DCF - Perpetuity</c:v>
                </c:pt>
                <c:pt idx="1">
                  <c:v>DCF - Exit Multiple</c:v>
                </c:pt>
                <c:pt idx="2">
                  <c:v>Comps - EV/EBITDA</c:v>
                </c:pt>
                <c:pt idx="3">
                  <c:v>Comps - EV/tonne</c:v>
                </c:pt>
                <c:pt idx="4">
                  <c:v>Current Price</c:v>
                </c:pt>
              </c:strCache>
            </c:strRef>
          </c:cat>
          <c:val>
            <c:numRef>
              <c:f>'Executive Summary'!$Q$3:$Q$7</c:f>
              <c:numCache>
                <c:formatCode>\₹0.00</c:formatCode>
                <c:ptCount val="5"/>
                <c:pt idx="0">
                  <c:v>86.89</c:v>
                </c:pt>
                <c:pt idx="1">
                  <c:v>164.44</c:v>
                </c:pt>
                <c:pt idx="2">
                  <c:v>207.93</c:v>
                </c:pt>
                <c:pt idx="3">
                  <c:v>195.22</c:v>
                </c:pt>
                <c:pt idx="4">
                  <c:v>188.45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6-4995-A922-57A781A9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Net Debt / EBITDA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Debt / EBITDA</c:v>
          </c:tx>
          <c:marker>
            <c:symbol val="none"/>
          </c:marker>
          <c:cat>
            <c:strRef>
              <c:f>'Executive Summary'!$P$10:$P$14</c:f>
              <c:strCache>
                <c:ptCount val="5"/>
                <c:pt idx="0">
                  <c:v>FY27E</c:v>
                </c:pt>
                <c:pt idx="1">
                  <c:v>FY28E</c:v>
                </c:pt>
                <c:pt idx="2">
                  <c:v>FY29E</c:v>
                </c:pt>
                <c:pt idx="3">
                  <c:v>FY30E</c:v>
                </c:pt>
                <c:pt idx="4">
                  <c:v>FY31E</c:v>
                </c:pt>
              </c:strCache>
            </c:strRef>
          </c:cat>
          <c:val>
            <c:numRef>
              <c:f>'Executive Summary'!$Q$10:$Q$14</c:f>
              <c:numCache>
                <c:formatCode>0.0\x</c:formatCode>
                <c:ptCount val="5"/>
                <c:pt idx="0">
                  <c:v>1.9417039762796842</c:v>
                </c:pt>
                <c:pt idx="1">
                  <c:v>1.6898905618951268</c:v>
                </c:pt>
                <c:pt idx="2">
                  <c:v>1.4616000486225822</c:v>
                </c:pt>
                <c:pt idx="3">
                  <c:v>1.1494214867483041</c:v>
                </c:pt>
                <c:pt idx="4">
                  <c:v>0.8375198000695373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0D-4FAB-A234-F5E008F5C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\x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Valuation Range — Implied ₹/Share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Implied ₹/share</c:v>
          </c:tx>
          <c:invertIfNegative val="1"/>
          <c:cat>
            <c:strRef>
              <c:f>'Trading Comps'!$A$34:$A$38</c:f>
              <c:strCache>
                <c:ptCount val="5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- EV/EBITDA</c:v>
                </c:pt>
                <c:pt idx="3">
                  <c:v>Trading Comps - EV/tonne</c:v>
                </c:pt>
                <c:pt idx="4">
                  <c:v>Current Market Price</c:v>
                </c:pt>
              </c:strCache>
            </c:strRef>
          </c:cat>
          <c:val>
            <c:numRef>
              <c:f>'Trading Comps'!$B$34:$B$38</c:f>
              <c:numCache>
                <c:formatCode>\₹0.00</c:formatCode>
                <c:ptCount val="5"/>
                <c:pt idx="0">
                  <c:v>86.89</c:v>
                </c:pt>
                <c:pt idx="1">
                  <c:v>164.44</c:v>
                </c:pt>
                <c:pt idx="2">
                  <c:v>207.93</c:v>
                </c:pt>
                <c:pt idx="3">
                  <c:v>195.22</c:v>
                </c:pt>
                <c:pt idx="4">
                  <c:v>188.45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1-45F6-BE48-523BF6234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31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selection activeCell="E12" sqref="E12"/>
    </sheetView>
  </sheetViews>
  <sheetFormatPr defaultRowHeight="14"/>
  <cols>
    <col min="1" max="1" width="28" customWidth="1"/>
    <col min="2" max="2" width="38" customWidth="1"/>
    <col min="3" max="3" width="24" customWidth="1"/>
    <col min="4" max="4" width="18" customWidth="1"/>
    <col min="5" max="5" width="25" customWidth="1"/>
    <col min="6" max="6" width="18" customWidth="1"/>
  </cols>
  <sheetData>
    <row r="1" spans="1:20" ht="20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20" ht="14.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P2" t="s">
        <v>2</v>
      </c>
      <c r="Q2" t="s">
        <v>3</v>
      </c>
    </row>
    <row r="3" spans="1:20">
      <c r="P3" t="s">
        <v>4</v>
      </c>
      <c r="Q3" s="41">
        <f>'DCF Valuation'!B47</f>
        <v>86.89</v>
      </c>
    </row>
    <row r="4" spans="1:20" ht="42">
      <c r="A4" s="2" t="s">
        <v>5</v>
      </c>
      <c r="B4" s="3" t="s">
        <v>6</v>
      </c>
      <c r="P4" t="s">
        <v>7</v>
      </c>
      <c r="Q4" s="41">
        <f>'Trading Comps'!B35</f>
        <v>164.44</v>
      </c>
    </row>
    <row r="5" spans="1:20">
      <c r="A5" s="2" t="s">
        <v>8</v>
      </c>
      <c r="B5" s="3" t="s">
        <v>9</v>
      </c>
      <c r="P5" t="s">
        <v>10</v>
      </c>
      <c r="Q5" s="41">
        <f>'Trading Comps'!B36</f>
        <v>207.93</v>
      </c>
    </row>
    <row r="6" spans="1:20">
      <c r="A6" s="2" t="s">
        <v>11</v>
      </c>
      <c r="B6" s="3" t="s">
        <v>12</v>
      </c>
      <c r="P6" t="s">
        <v>13</v>
      </c>
      <c r="Q6" s="41">
        <f>'Trading Comps'!B37</f>
        <v>195.22</v>
      </c>
    </row>
    <row r="7" spans="1:20">
      <c r="A7" s="2" t="s">
        <v>14</v>
      </c>
      <c r="B7" s="3" t="s">
        <v>15</v>
      </c>
      <c r="P7" t="s">
        <v>16</v>
      </c>
      <c r="Q7" s="41">
        <v>188.45</v>
      </c>
    </row>
    <row r="8" spans="1:20" ht="28">
      <c r="A8" s="2" t="s">
        <v>17</v>
      </c>
      <c r="B8" s="3" t="s">
        <v>18</v>
      </c>
    </row>
    <row r="9" spans="1:20" ht="28">
      <c r="A9" s="2" t="s">
        <v>19</v>
      </c>
      <c r="B9" s="3" t="s">
        <v>20</v>
      </c>
      <c r="P9" t="s">
        <v>21</v>
      </c>
      <c r="Q9" t="s">
        <v>22</v>
      </c>
      <c r="R9" t="s">
        <v>23</v>
      </c>
      <c r="S9" t="s">
        <v>24</v>
      </c>
      <c r="T9" t="s">
        <v>25</v>
      </c>
    </row>
    <row r="10" spans="1:20" ht="28">
      <c r="A10" s="2" t="s">
        <v>26</v>
      </c>
      <c r="B10" s="3" t="s">
        <v>27</v>
      </c>
      <c r="P10" s="11" t="s">
        <v>28</v>
      </c>
      <c r="Q10" s="50">
        <f>'Credit Underwriting'!B13</f>
        <v>1.9417039762796842</v>
      </c>
      <c r="R10" s="11">
        <f>'Credit Underwriting'!D13</f>
        <v>1.4616000486225822</v>
      </c>
      <c r="S10" s="11">
        <f>'Credit Underwriting'!E13</f>
        <v>1.1494214867483041</v>
      </c>
      <c r="T10" s="11">
        <f>'Credit Underwriting'!F13</f>
        <v>0.8375198000695373</v>
      </c>
    </row>
    <row r="11" spans="1:20" ht="28">
      <c r="A11" s="2" t="s">
        <v>29</v>
      </c>
      <c r="B11" s="3" t="s">
        <v>30</v>
      </c>
      <c r="P11" t="s">
        <v>31</v>
      </c>
      <c r="Q11" s="50">
        <f>'Credit Underwriting'!C13</f>
        <v>1.6898905618951268</v>
      </c>
    </row>
    <row r="12" spans="1:20">
      <c r="A12" s="2" t="s">
        <v>32</v>
      </c>
      <c r="B12" s="3" t="s">
        <v>33</v>
      </c>
      <c r="P12" t="s">
        <v>23</v>
      </c>
      <c r="Q12" s="50">
        <f>'Credit Underwriting'!D13</f>
        <v>1.4616000486225822</v>
      </c>
    </row>
    <row r="13" spans="1:20">
      <c r="P13" t="s">
        <v>24</v>
      </c>
      <c r="Q13" s="50">
        <f>'Credit Underwriting'!E13</f>
        <v>1.1494214867483041</v>
      </c>
    </row>
    <row r="14" spans="1:20">
      <c r="P14" t="s">
        <v>25</v>
      </c>
      <c r="Q14" s="50">
        <f>'Credit Underwriting'!F13</f>
        <v>0.8375198000695373</v>
      </c>
    </row>
    <row r="15" spans="1:20">
      <c r="A15" s="60" t="s">
        <v>34</v>
      </c>
      <c r="B15" s="60"/>
      <c r="C15" s="60"/>
      <c r="D15" s="60"/>
      <c r="E15" s="60"/>
      <c r="F15" s="60"/>
    </row>
    <row r="16" spans="1:20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40</v>
      </c>
    </row>
    <row r="17" spans="1:6">
      <c r="A17" t="s">
        <v>41</v>
      </c>
      <c r="B17" s="5">
        <v>243959</v>
      </c>
      <c r="C17" s="5">
        <v>243353</v>
      </c>
      <c r="D17" s="5">
        <v>229171</v>
      </c>
      <c r="E17" s="5">
        <v>218543</v>
      </c>
      <c r="F17" s="5">
        <v>232140</v>
      </c>
    </row>
    <row r="18" spans="1:6">
      <c r="A18" t="s">
        <v>42</v>
      </c>
      <c r="B18" s="5">
        <v>63830</v>
      </c>
      <c r="C18" s="5">
        <v>32698</v>
      </c>
      <c r="D18" s="5">
        <v>23402</v>
      </c>
      <c r="E18" s="5">
        <v>25802</v>
      </c>
      <c r="F18" s="5">
        <v>34848</v>
      </c>
    </row>
    <row r="19" spans="1:6">
      <c r="A19" t="s">
        <v>43</v>
      </c>
      <c r="B19" s="6">
        <f>B18/B17</f>
        <v>0.2616423251447989</v>
      </c>
      <c r="C19" s="6">
        <f>C18/C17</f>
        <v>0.13436448287056252</v>
      </c>
      <c r="D19" s="6">
        <f>D18/D17</f>
        <v>0.10211588726322265</v>
      </c>
      <c r="E19" s="6">
        <f>E18/E17</f>
        <v>0.11806372201351679</v>
      </c>
      <c r="F19" s="6">
        <f>F18/F17</f>
        <v>0.15011630912380461</v>
      </c>
    </row>
    <row r="20" spans="1:6">
      <c r="A20" t="s">
        <v>44</v>
      </c>
      <c r="B20" s="5">
        <v>41749</v>
      </c>
      <c r="C20" s="5">
        <v>8075</v>
      </c>
      <c r="D20" s="5">
        <v>-4910</v>
      </c>
      <c r="E20" s="5">
        <v>3174</v>
      </c>
      <c r="F20" s="5">
        <v>10886</v>
      </c>
    </row>
    <row r="21" spans="1:6">
      <c r="A21" t="s">
        <v>45</v>
      </c>
      <c r="B21" s="7">
        <v>31.03</v>
      </c>
      <c r="C21" s="7">
        <v>30.65</v>
      </c>
      <c r="D21" s="7">
        <v>29.94</v>
      </c>
      <c r="E21" s="7">
        <v>30.92</v>
      </c>
      <c r="F21" s="7">
        <v>31.67</v>
      </c>
    </row>
    <row r="22" spans="1:6">
      <c r="A22" t="s">
        <v>46</v>
      </c>
      <c r="B22" s="7">
        <v>29.52</v>
      </c>
      <c r="C22" s="7">
        <v>28.79</v>
      </c>
      <c r="D22" s="7">
        <v>29.39</v>
      </c>
      <c r="E22" s="7">
        <v>30.96</v>
      </c>
      <c r="F22" s="7">
        <v>31.97</v>
      </c>
    </row>
    <row r="25" spans="1:6">
      <c r="A25" s="60" t="s">
        <v>47</v>
      </c>
      <c r="B25" s="60"/>
      <c r="C25" s="60"/>
      <c r="D25" s="60"/>
      <c r="E25" s="60"/>
      <c r="F25" s="60"/>
    </row>
    <row r="26" spans="1:6" ht="42">
      <c r="A26" s="2" t="s">
        <v>48</v>
      </c>
      <c r="B26" s="3" t="s">
        <v>49</v>
      </c>
    </row>
    <row r="27" spans="1:6" ht="42">
      <c r="A27" s="2" t="s">
        <v>50</v>
      </c>
      <c r="B27" s="3" t="s">
        <v>51</v>
      </c>
    </row>
    <row r="28" spans="1:6" ht="42">
      <c r="A28" s="2" t="s">
        <v>52</v>
      </c>
      <c r="B28" s="3" t="s">
        <v>53</v>
      </c>
    </row>
    <row r="29" spans="1:6" ht="28">
      <c r="A29" s="2" t="s">
        <v>54</v>
      </c>
      <c r="B29" s="3" t="s">
        <v>55</v>
      </c>
    </row>
    <row r="32" spans="1:6">
      <c r="A32" s="61" t="s">
        <v>56</v>
      </c>
      <c r="B32" s="61"/>
      <c r="C32" s="61"/>
      <c r="D32" s="61"/>
      <c r="E32" s="61"/>
      <c r="F32" s="61"/>
    </row>
    <row r="33" spans="1:6">
      <c r="A33" t="s">
        <v>35</v>
      </c>
      <c r="B33" t="s">
        <v>57</v>
      </c>
      <c r="C33" t="s">
        <v>35</v>
      </c>
      <c r="D33" t="s">
        <v>57</v>
      </c>
      <c r="E33" t="s">
        <v>35</v>
      </c>
      <c r="F33" t="s">
        <v>57</v>
      </c>
    </row>
    <row r="34" spans="1:6">
      <c r="A34" t="s">
        <v>58</v>
      </c>
      <c r="B34" s="41">
        <f>'DCF Valuation'!B69</f>
        <v>188.45</v>
      </c>
      <c r="C34" t="s">
        <v>59</v>
      </c>
      <c r="D34" s="49">
        <f>'DCF Valuation'!B30</f>
        <v>0.11714508507364038</v>
      </c>
      <c r="E34" s="6" t="s">
        <v>60</v>
      </c>
      <c r="F34" s="49">
        <f>'DCF Valuation'!B35</f>
        <v>0.03</v>
      </c>
    </row>
    <row r="35" spans="1:6">
      <c r="A35" t="s">
        <v>4</v>
      </c>
      <c r="B35" s="41">
        <f>ROUND('DCF Valuation'!B47,2)</f>
        <v>86.89</v>
      </c>
      <c r="C35" s="41" t="s">
        <v>7</v>
      </c>
      <c r="D35" s="41">
        <f>ROUND('Trading Comps'!B35,2)</f>
        <v>164.44</v>
      </c>
      <c r="E35" s="6" t="s">
        <v>61</v>
      </c>
      <c r="F35" s="49">
        <f>'DCF Valuation'!B78</f>
        <v>6.8411404800468936E-2</v>
      </c>
    </row>
    <row r="36" spans="1:6">
      <c r="A36" t="s">
        <v>10</v>
      </c>
      <c r="B36" s="41">
        <f>ROUND('Trading Comps'!B36,2)</f>
        <v>207.93</v>
      </c>
      <c r="C36" s="41" t="s">
        <v>13</v>
      </c>
      <c r="D36" s="41">
        <f>ROUND('Trading Comps'!B37,2)</f>
        <v>195.22</v>
      </c>
      <c r="E36" t="s">
        <v>62</v>
      </c>
      <c r="F36" s="50">
        <f>ROUND('Trading Comps'!C13,2)</f>
        <v>11.4</v>
      </c>
    </row>
    <row r="37" spans="1:6" ht="84">
      <c r="A37" s="3" t="s">
        <v>63</v>
      </c>
      <c r="B37" s="3" t="s">
        <v>64</v>
      </c>
      <c r="C37" s="3"/>
      <c r="D37" s="3"/>
      <c r="E37" s="3"/>
      <c r="F37" s="3"/>
    </row>
    <row r="39" spans="1:6">
      <c r="A39" s="61" t="s">
        <v>65</v>
      </c>
      <c r="B39" s="61"/>
      <c r="C39" s="61"/>
      <c r="D39" s="61"/>
      <c r="E39" s="61"/>
      <c r="F39" s="61"/>
    </row>
    <row r="40" spans="1:6">
      <c r="A40" t="s">
        <v>66</v>
      </c>
      <c r="B40" s="5">
        <v>84173</v>
      </c>
      <c r="C40" s="5" t="s">
        <v>67</v>
      </c>
      <c r="D40" s="5">
        <v>45950</v>
      </c>
      <c r="E40" t="s">
        <v>68</v>
      </c>
      <c r="F40" s="50">
        <f>'Credit Underwriting'!B13</f>
        <v>1.9417039762796842</v>
      </c>
    </row>
    <row r="42" spans="1:6">
      <c r="A42" t="s">
        <v>35</v>
      </c>
      <c r="B42" t="s">
        <v>69</v>
      </c>
      <c r="C42" t="s">
        <v>70</v>
      </c>
      <c r="D42" t="s">
        <v>71</v>
      </c>
    </row>
    <row r="43" spans="1:6">
      <c r="A43" t="s">
        <v>72</v>
      </c>
      <c r="B43" s="50">
        <f>'Credit Underwriting'!B20</f>
        <v>1.7463420643948497</v>
      </c>
      <c r="C43" s="50">
        <f>'Credit Underwriting'!J39</f>
        <v>0.77</v>
      </c>
      <c r="D43" s="50">
        <f>'Credit Underwriting'!J40</f>
        <v>0.8</v>
      </c>
    </row>
    <row r="44" spans="1:6">
      <c r="A44" t="s">
        <v>22</v>
      </c>
      <c r="B44" s="50">
        <f>'Credit Underwriting'!B13</f>
        <v>1.9417039762796842</v>
      </c>
      <c r="C44" s="50">
        <f>'Credit Underwriting'!I39</f>
        <v>3.69</v>
      </c>
      <c r="D44" s="50">
        <f>'Credit Underwriting'!I40</f>
        <v>3.08</v>
      </c>
    </row>
    <row r="45" spans="1:6" ht="42">
      <c r="A45" s="3" t="s">
        <v>73</v>
      </c>
      <c r="B45" s="3" t="s">
        <v>74</v>
      </c>
      <c r="C45" s="3"/>
      <c r="D45" s="3"/>
      <c r="E45" s="3"/>
      <c r="F45" s="3"/>
    </row>
  </sheetData>
  <mergeCells count="6">
    <mergeCell ref="A39:F39"/>
    <mergeCell ref="A1:K1"/>
    <mergeCell ref="A2:K2"/>
    <mergeCell ref="A15:F15"/>
    <mergeCell ref="A25:F25"/>
    <mergeCell ref="A32:F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/>
  </sheetViews>
  <sheetFormatPr defaultRowHeight="14"/>
  <cols>
    <col min="1" max="1" width="34" customWidth="1"/>
    <col min="2" max="11" width="14" customWidth="1"/>
  </cols>
  <sheetData>
    <row r="1" spans="1:11" ht="20">
      <c r="A1" s="58" t="s">
        <v>75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4.5">
      <c r="A2" s="59" t="s">
        <v>76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>
      <c r="A4" s="4" t="s">
        <v>35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</row>
    <row r="6" spans="1:11">
      <c r="A6" s="60" t="s">
        <v>82</v>
      </c>
      <c r="B6" s="60"/>
      <c r="C6" s="60"/>
      <c r="D6" s="60"/>
      <c r="E6" s="60"/>
      <c r="F6" s="60"/>
    </row>
    <row r="7" spans="1:11">
      <c r="A7" t="s">
        <v>45</v>
      </c>
      <c r="B7" s="9">
        <v>31.03</v>
      </c>
      <c r="C7" s="9">
        <v>30.65</v>
      </c>
      <c r="D7" s="9">
        <v>29.94</v>
      </c>
      <c r="E7" s="9">
        <v>30.92</v>
      </c>
      <c r="F7" s="9">
        <v>31.67</v>
      </c>
    </row>
    <row r="8" spans="1:11">
      <c r="A8" t="s">
        <v>46</v>
      </c>
      <c r="B8" s="9">
        <v>29.52</v>
      </c>
      <c r="C8" s="9">
        <v>28.79</v>
      </c>
      <c r="D8" s="9">
        <v>29.39</v>
      </c>
      <c r="E8" s="9">
        <v>30.96</v>
      </c>
      <c r="F8" s="9">
        <v>31.97</v>
      </c>
    </row>
    <row r="9" spans="1:11">
      <c r="A9" t="s">
        <v>83</v>
      </c>
      <c r="C9" s="6">
        <f>C8/B8-1</f>
        <v>-2.4728997289972909E-2</v>
      </c>
      <c r="D9" s="6">
        <f>D8/C8-1</f>
        <v>2.0840569642236906E-2</v>
      </c>
      <c r="E9" s="6">
        <f>E8/D8-1</f>
        <v>5.3419530452534891E-2</v>
      </c>
      <c r="F9" s="6">
        <f>F8/E8-1</f>
        <v>3.2622739018087765E-2</v>
      </c>
    </row>
    <row r="10" spans="1:11">
      <c r="A10" t="s">
        <v>84</v>
      </c>
      <c r="B10" s="10">
        <v>243959</v>
      </c>
      <c r="C10" s="10">
        <v>243353</v>
      </c>
      <c r="D10" s="10">
        <v>229171</v>
      </c>
      <c r="E10" s="10">
        <v>218543</v>
      </c>
      <c r="F10" s="10">
        <v>232140</v>
      </c>
    </row>
    <row r="11" spans="1:11">
      <c r="A11" t="s">
        <v>85</v>
      </c>
      <c r="C11" s="6">
        <f>C10/B10-1</f>
        <v>-2.4840239548448162E-3</v>
      </c>
      <c r="D11" s="6">
        <f>D10/C10-1</f>
        <v>-5.8277481682987298E-2</v>
      </c>
      <c r="E11" s="6">
        <f>E10/D10-1</f>
        <v>-4.637585034755709E-2</v>
      </c>
      <c r="F11" s="6">
        <f>F10/E10-1</f>
        <v>6.2216588955034124E-2</v>
      </c>
    </row>
    <row r="12" spans="1:11">
      <c r="A12" t="s">
        <v>86</v>
      </c>
      <c r="B12" s="8">
        <f>B10/B8*10000000</f>
        <v>82641937669.376694</v>
      </c>
      <c r="C12" s="8">
        <f>C10/C8*10000000</f>
        <v>84526919069.121231</v>
      </c>
      <c r="D12" s="8">
        <f>D10/D8*10000000</f>
        <v>77975842123.171143</v>
      </c>
      <c r="E12" s="8">
        <f>E10/E8*10000000</f>
        <v>70588824289.405685</v>
      </c>
      <c r="F12" s="8">
        <f>F10/F8*10000000</f>
        <v>72611823584.61058</v>
      </c>
    </row>
    <row r="13" spans="1:11">
      <c r="A13" t="s">
        <v>42</v>
      </c>
      <c r="B13" s="10">
        <v>63830</v>
      </c>
      <c r="C13" s="10">
        <v>32698</v>
      </c>
      <c r="D13" s="10">
        <v>23402</v>
      </c>
      <c r="E13" s="10">
        <v>25802</v>
      </c>
      <c r="F13" s="10">
        <v>34848</v>
      </c>
    </row>
    <row r="14" spans="1:11">
      <c r="A14" t="s">
        <v>87</v>
      </c>
      <c r="B14" s="6">
        <f>B13/B10</f>
        <v>0.2616423251447989</v>
      </c>
      <c r="C14" s="6">
        <f>C13/C10</f>
        <v>0.13436448287056252</v>
      </c>
      <c r="D14" s="6">
        <f>D13/D10</f>
        <v>0.10211588726322265</v>
      </c>
      <c r="E14" s="6">
        <f>E13/E10</f>
        <v>0.11806372201351679</v>
      </c>
      <c r="F14" s="6">
        <f>F13/F10</f>
        <v>0.15011630912380461</v>
      </c>
    </row>
    <row r="15" spans="1:11">
      <c r="A15" t="s">
        <v>44</v>
      </c>
      <c r="B15" s="10">
        <v>41749</v>
      </c>
      <c r="C15" s="10">
        <v>8075</v>
      </c>
      <c r="D15" s="10">
        <v>-4910</v>
      </c>
      <c r="E15" s="10">
        <v>3174</v>
      </c>
      <c r="F15" s="10">
        <v>10886</v>
      </c>
    </row>
    <row r="18" spans="1:6">
      <c r="A18" s="60" t="s">
        <v>88</v>
      </c>
      <c r="B18" s="60"/>
      <c r="C18" s="60"/>
      <c r="D18" s="60"/>
      <c r="E18" s="60"/>
      <c r="F18" s="60"/>
    </row>
    <row r="19" spans="1:6">
      <c r="A19" t="s">
        <v>89</v>
      </c>
      <c r="B19" s="5">
        <v>51049</v>
      </c>
      <c r="C19" s="5">
        <v>67810</v>
      </c>
      <c r="D19" s="5"/>
      <c r="E19" s="5">
        <v>82579</v>
      </c>
      <c r="F19" s="5">
        <v>80144</v>
      </c>
    </row>
    <row r="20" spans="1:6">
      <c r="A20" t="s">
        <v>90</v>
      </c>
      <c r="B20" s="11">
        <f>B19/B13</f>
        <v>0.79976500078333068</v>
      </c>
      <c r="C20" s="11">
        <f>C19/C13</f>
        <v>2.0738271453911552</v>
      </c>
      <c r="D20" s="11">
        <f>IFERROR(D19/D13,"")</f>
        <v>0</v>
      </c>
      <c r="E20" s="11">
        <f>E19/E13</f>
        <v>3.2004883342376558</v>
      </c>
      <c r="F20" s="11">
        <f>F19/F13</f>
        <v>2.2998163452708908</v>
      </c>
    </row>
    <row r="21" spans="1:6">
      <c r="A21" t="s">
        <v>91</v>
      </c>
      <c r="B21" s="5">
        <v>56283</v>
      </c>
      <c r="C21" s="5">
        <v>21683</v>
      </c>
      <c r="D21" s="5"/>
      <c r="E21" s="5"/>
      <c r="F21" s="5">
        <v>35064</v>
      </c>
    </row>
    <row r="22" spans="1:6">
      <c r="A22" t="s">
        <v>92</v>
      </c>
      <c r="B22" s="5"/>
      <c r="C22" s="5"/>
      <c r="D22" s="5"/>
      <c r="E22" s="5"/>
      <c r="F22" s="5">
        <v>14559</v>
      </c>
    </row>
    <row r="23" spans="1:6">
      <c r="A23" t="s">
        <v>93</v>
      </c>
      <c r="B23" s="5">
        <v>27185</v>
      </c>
      <c r="C23" s="5"/>
      <c r="D23" s="5"/>
      <c r="E23" s="5"/>
      <c r="F23" s="5">
        <v>10738</v>
      </c>
    </row>
  </sheetData>
  <mergeCells count="4">
    <mergeCell ref="A1:K1"/>
    <mergeCell ref="A2:K2"/>
    <mergeCell ref="A6:F6"/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4"/>
  <cols>
    <col min="1" max="1" width="34" customWidth="1"/>
    <col min="2" max="11" width="14" customWidth="1"/>
  </cols>
  <sheetData>
    <row r="1" spans="1:11" ht="20">
      <c r="A1" s="58" t="s">
        <v>94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4.5">
      <c r="A2" s="59" t="s">
        <v>95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>
      <c r="A4" s="4" t="s">
        <v>96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</row>
    <row r="6" spans="1:11">
      <c r="A6" s="60" t="s">
        <v>102</v>
      </c>
      <c r="B6" s="60"/>
      <c r="C6" s="60"/>
      <c r="D6" s="60"/>
      <c r="E6" s="60"/>
      <c r="F6" s="60"/>
    </row>
    <row r="7" spans="1:11">
      <c r="A7" t="s">
        <v>83</v>
      </c>
      <c r="B7" s="12">
        <f>'Operating Drivers'!C10</f>
        <v>2.5000000000000001E-2</v>
      </c>
      <c r="C7" s="12">
        <f>'Operating Drivers'!D10</f>
        <v>0.05</v>
      </c>
      <c r="D7" s="12">
        <f>'Operating Drivers'!E10</f>
        <v>0.04</v>
      </c>
      <c r="E7" s="12">
        <f>'Operating Drivers'!F10</f>
        <v>3.5000000000000003E-2</v>
      </c>
      <c r="F7" s="12">
        <f>'Operating Drivers'!G10</f>
        <v>0.03</v>
      </c>
    </row>
    <row r="8" spans="1:11">
      <c r="A8" t="s">
        <v>103</v>
      </c>
      <c r="B8" s="12">
        <f>'Operating Drivers'!C16</f>
        <v>3.5000000000000003E-2</v>
      </c>
      <c r="C8" s="12">
        <f>'Operating Drivers'!D16</f>
        <v>0.02</v>
      </c>
      <c r="D8" s="12">
        <f>'Operating Drivers'!E16</f>
        <v>0.02</v>
      </c>
      <c r="E8" s="12">
        <f>'Operating Drivers'!F16</f>
        <v>2.5000000000000001E-2</v>
      </c>
      <c r="F8" s="12">
        <f>'Operating Drivers'!G16</f>
        <v>2.5000000000000001E-2</v>
      </c>
    </row>
    <row r="9" spans="1:11">
      <c r="A9" t="s">
        <v>87</v>
      </c>
      <c r="B9" s="12">
        <f>'Operating Drivers'!C19</f>
        <v>0.155</v>
      </c>
      <c r="C9" s="12">
        <f>'Operating Drivers'!D19</f>
        <v>0.16</v>
      </c>
      <c r="D9" s="12">
        <f>'Operating Drivers'!E19</f>
        <v>0.16500000000000001</v>
      </c>
      <c r="E9" s="12">
        <f>'Operating Drivers'!F19</f>
        <v>0.17</v>
      </c>
      <c r="F9" s="12">
        <f>'Operating Drivers'!G19</f>
        <v>0.17</v>
      </c>
    </row>
    <row r="10" spans="1:11">
      <c r="A10" t="s">
        <v>104</v>
      </c>
      <c r="B10" s="12">
        <v>5.5E-2</v>
      </c>
      <c r="C10" s="12">
        <v>5.5E-2</v>
      </c>
      <c r="D10" s="12">
        <v>5.5E-2</v>
      </c>
      <c r="E10" s="12">
        <v>5.5E-2</v>
      </c>
      <c r="F10" s="12">
        <v>5.5E-2</v>
      </c>
    </row>
    <row r="11" spans="1:11">
      <c r="A11" t="s">
        <v>105</v>
      </c>
      <c r="B11" s="12">
        <v>0.25</v>
      </c>
      <c r="C11" s="12">
        <v>0.25</v>
      </c>
      <c r="D11" s="12">
        <v>0.25</v>
      </c>
      <c r="E11" s="12">
        <v>0.25</v>
      </c>
      <c r="F11" s="12">
        <v>0.25</v>
      </c>
    </row>
    <row r="12" spans="1:11">
      <c r="A12" t="s">
        <v>106</v>
      </c>
      <c r="B12" s="27">
        <f>'Capex Build'!C8</f>
        <v>8.1211176172429761E-2</v>
      </c>
      <c r="C12" s="27">
        <f>'Capex Build'!D8</f>
        <v>8.3410171605670144E-2</v>
      </c>
      <c r="D12" s="27">
        <f>'Capex Build'!E8</f>
        <v>8.2203566216338148E-2</v>
      </c>
      <c r="E12" s="27">
        <f>'Capex Build'!F8</f>
        <v>6.7379627125957881E-2</v>
      </c>
      <c r="F12" s="27">
        <f>'Capex Build'!G8</f>
        <v>5.7439416920068279E-2</v>
      </c>
    </row>
    <row r="15" spans="1:11">
      <c r="A15" s="60" t="s">
        <v>107</v>
      </c>
      <c r="B15" s="60"/>
      <c r="C15" s="60"/>
      <c r="D15" s="60"/>
      <c r="E15" s="60"/>
      <c r="F15" s="60"/>
    </row>
    <row r="16" spans="1:11">
      <c r="A16" t="s">
        <v>108</v>
      </c>
      <c r="B16" s="12">
        <v>0.1</v>
      </c>
      <c r="C16" s="12">
        <v>0.1</v>
      </c>
      <c r="D16" s="12">
        <v>0.1</v>
      </c>
      <c r="E16" s="12">
        <v>0.1</v>
      </c>
      <c r="F16" s="12">
        <v>0.1</v>
      </c>
    </row>
    <row r="17" spans="1:6">
      <c r="A17" t="s">
        <v>109</v>
      </c>
      <c r="B17" s="12">
        <v>7.0000000000000007E-2</v>
      </c>
      <c r="C17" s="12">
        <v>7.0000000000000007E-2</v>
      </c>
      <c r="D17" s="12">
        <v>7.0000000000000007E-2</v>
      </c>
      <c r="E17" s="12">
        <v>7.0000000000000007E-2</v>
      </c>
      <c r="F17" s="12">
        <v>7.0000000000000007E-2</v>
      </c>
    </row>
    <row r="18" spans="1:6">
      <c r="A18" t="s">
        <v>110</v>
      </c>
      <c r="B18" s="12">
        <v>0.3</v>
      </c>
      <c r="C18" s="12">
        <v>0.3</v>
      </c>
      <c r="D18" s="12">
        <v>0.3</v>
      </c>
      <c r="E18" s="12">
        <v>0.3</v>
      </c>
      <c r="F18" s="12">
        <v>0.3</v>
      </c>
    </row>
    <row r="19" spans="1:6">
      <c r="A19" t="s">
        <v>111</v>
      </c>
      <c r="B19" s="37">
        <v>13000</v>
      </c>
      <c r="C19" s="37">
        <v>13000</v>
      </c>
      <c r="D19" s="37">
        <v>13000</v>
      </c>
      <c r="E19" s="37">
        <v>13000</v>
      </c>
      <c r="F19" s="37">
        <v>13000</v>
      </c>
    </row>
    <row r="20" spans="1:6">
      <c r="A20" t="s">
        <v>112</v>
      </c>
      <c r="B20" s="36">
        <v>0.25</v>
      </c>
      <c r="C20" s="36">
        <v>0.3</v>
      </c>
      <c r="D20" s="36">
        <v>0.35</v>
      </c>
      <c r="E20" s="36">
        <v>0.4</v>
      </c>
      <c r="F20" s="36">
        <v>0.4</v>
      </c>
    </row>
    <row r="21" spans="1:6">
      <c r="A21" t="s">
        <v>113</v>
      </c>
      <c r="B21" s="36">
        <v>0.04</v>
      </c>
      <c r="C21" s="36">
        <v>0.04</v>
      </c>
      <c r="D21" s="36">
        <v>0.04</v>
      </c>
      <c r="E21" s="36">
        <v>0.04</v>
      </c>
      <c r="F21" s="36">
        <v>0.04</v>
      </c>
    </row>
  </sheetData>
  <mergeCells count="4">
    <mergeCell ref="A1:K1"/>
    <mergeCell ref="A2:K2"/>
    <mergeCell ref="A6:F6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4"/>
  <cols>
    <col min="1" max="1" width="34" customWidth="1"/>
    <col min="2" max="11" width="14" customWidth="1"/>
  </cols>
  <sheetData>
    <row r="1" spans="1:11" ht="20">
      <c r="A1" s="58" t="s">
        <v>114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4.5">
      <c r="A2" s="59" t="s">
        <v>115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>
      <c r="A4" s="4" t="s">
        <v>35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</row>
    <row r="6" spans="1:11">
      <c r="A6" s="60" t="s">
        <v>116</v>
      </c>
      <c r="B6" s="60"/>
      <c r="C6" s="60"/>
      <c r="D6" s="60"/>
      <c r="E6" s="60"/>
      <c r="F6" s="60"/>
      <c r="G6" s="60"/>
      <c r="H6" s="60"/>
      <c r="I6" s="60"/>
      <c r="J6" s="60"/>
      <c r="K6" s="60"/>
    </row>
    <row r="7" spans="1:11">
      <c r="A7" t="s">
        <v>46</v>
      </c>
      <c r="B7" s="13">
        <f>Historicals!B8</f>
        <v>29.52</v>
      </c>
      <c r="C7" s="13">
        <f>Historicals!C8</f>
        <v>28.79</v>
      </c>
      <c r="D7" s="13">
        <f>Historicals!D8</f>
        <v>29.39</v>
      </c>
      <c r="E7" s="13">
        <f>Historicals!E8</f>
        <v>30.96</v>
      </c>
      <c r="F7" s="13">
        <f>Historicals!F8</f>
        <v>31.97</v>
      </c>
      <c r="G7" s="7">
        <f>F7*(1+Assumptions!B7)</f>
        <v>32.76925</v>
      </c>
      <c r="H7" s="7">
        <f>G7*(1+Assumptions!C7)</f>
        <v>34.407712500000002</v>
      </c>
      <c r="I7" s="7">
        <f>H7*(1+Assumptions!D7)</f>
        <v>35.784021000000003</v>
      </c>
      <c r="J7" s="7">
        <f>I7*(1+Assumptions!E7)</f>
        <v>37.036461735000003</v>
      </c>
      <c r="K7" s="7">
        <f>J7*(1+Assumptions!F7)</f>
        <v>38.147555587050007</v>
      </c>
    </row>
    <row r="8" spans="1:11">
      <c r="A8" t="s">
        <v>86</v>
      </c>
      <c r="B8" s="14">
        <f>Historicals!B12</f>
        <v>82641937669.376694</v>
      </c>
      <c r="C8" s="14">
        <f>Historicals!C12</f>
        <v>84526919069.121231</v>
      </c>
      <c r="D8" s="14">
        <f>Historicals!D12</f>
        <v>77975842123.171143</v>
      </c>
      <c r="E8" s="14">
        <f>Historicals!E12</f>
        <v>70588824289.405685</v>
      </c>
      <c r="F8" s="14">
        <f>Historicals!F12</f>
        <v>72611823584.61058</v>
      </c>
      <c r="G8" s="8">
        <f>F8*(1+Assumptions!B8)</f>
        <v>75153237410.071945</v>
      </c>
      <c r="H8" s="8">
        <f>G8*(1+Assumptions!C8)</f>
        <v>76656302158.273392</v>
      </c>
      <c r="I8" s="8">
        <f>H8*(1+Assumptions!D8)</f>
        <v>78189428201.438858</v>
      </c>
      <c r="J8" s="8">
        <f>I8*(1+Assumptions!E8)</f>
        <v>80144163906.474823</v>
      </c>
      <c r="K8" s="8">
        <f>J8*(1+Assumptions!F8)</f>
        <v>82147768004.136688</v>
      </c>
    </row>
    <row r="9" spans="1:11">
      <c r="A9" t="s">
        <v>117</v>
      </c>
      <c r="B9" s="15">
        <f>Historicals!B10</f>
        <v>243959</v>
      </c>
      <c r="C9" s="15">
        <f>Historicals!C10</f>
        <v>243353</v>
      </c>
      <c r="D9" s="15">
        <f>Historicals!D10</f>
        <v>229171</v>
      </c>
      <c r="E9" s="15">
        <f>Historicals!E10</f>
        <v>218543</v>
      </c>
      <c r="F9" s="15">
        <f>Historicals!F10</f>
        <v>232140</v>
      </c>
      <c r="G9" s="5">
        <f>G7*G8/10000000</f>
        <v>246271.52249999999</v>
      </c>
      <c r="H9" s="5">
        <f>H7*H8/10000000</f>
        <v>263756.80059750006</v>
      </c>
      <c r="I9" s="5">
        <f>I7*I8/10000000</f>
        <v>279793.21407382807</v>
      </c>
      <c r="J9" s="5">
        <f>J7*J8/10000000</f>
        <v>296825.62598057231</v>
      </c>
      <c r="K9" s="5">
        <f>K7*K8/10000000</f>
        <v>313373.65462898929</v>
      </c>
    </row>
    <row r="10" spans="1:11">
      <c r="A10" t="s">
        <v>85</v>
      </c>
      <c r="B10" s="16"/>
      <c r="C10" s="17">
        <f t="shared" ref="C10:K10" si="0">C9/B9-1</f>
        <v>-2.4840239548448162E-3</v>
      </c>
      <c r="D10" s="17">
        <f t="shared" si="0"/>
        <v>-5.8277481682987298E-2</v>
      </c>
      <c r="E10" s="17">
        <f t="shared" si="0"/>
        <v>-4.637585034755709E-2</v>
      </c>
      <c r="F10" s="17">
        <f t="shared" si="0"/>
        <v>6.2216588955034124E-2</v>
      </c>
      <c r="G10" s="6">
        <f t="shared" si="0"/>
        <v>6.0875000000000012E-2</v>
      </c>
      <c r="H10" s="6">
        <f t="shared" si="0"/>
        <v>7.1000000000000174E-2</v>
      </c>
      <c r="I10" s="6">
        <f t="shared" si="0"/>
        <v>6.0799999999999965E-2</v>
      </c>
      <c r="J10" s="6">
        <f t="shared" si="0"/>
        <v>6.087499999999979E-2</v>
      </c>
      <c r="K10" s="6">
        <f t="shared" si="0"/>
        <v>5.5750000000000188E-2</v>
      </c>
    </row>
    <row r="11" spans="1:11">
      <c r="A11" t="s">
        <v>42</v>
      </c>
      <c r="B11" s="15">
        <f>Historicals!B13</f>
        <v>63830</v>
      </c>
      <c r="C11" s="15">
        <f>Historicals!C13</f>
        <v>32698</v>
      </c>
      <c r="D11" s="15">
        <f>Historicals!D13</f>
        <v>23402</v>
      </c>
      <c r="E11" s="15">
        <f>Historicals!E13</f>
        <v>25802</v>
      </c>
      <c r="F11" s="15">
        <f>Historicals!F13</f>
        <v>34848</v>
      </c>
      <c r="G11" s="5">
        <f>G9*Assumptions!B9</f>
        <v>38172.085987499995</v>
      </c>
      <c r="H11" s="5">
        <f>H9*Assumptions!C9</f>
        <v>42201.088095600011</v>
      </c>
      <c r="I11" s="5">
        <f>I9*Assumptions!D9</f>
        <v>46165.880322181634</v>
      </c>
      <c r="J11" s="5">
        <f>J9*Assumptions!E9</f>
        <v>50460.356416697294</v>
      </c>
      <c r="K11" s="5">
        <f>K9*Assumptions!F9</f>
        <v>53273.521286928182</v>
      </c>
    </row>
    <row r="12" spans="1:11">
      <c r="A12" t="s">
        <v>87</v>
      </c>
      <c r="B12" s="17">
        <f>Historicals!B14</f>
        <v>0.2616423251447989</v>
      </c>
      <c r="C12" s="17">
        <f>Historicals!C14</f>
        <v>0.13436448287056252</v>
      </c>
      <c r="D12" s="17">
        <f>Historicals!D14</f>
        <v>0.10211588726322265</v>
      </c>
      <c r="E12" s="17">
        <f>Historicals!E14</f>
        <v>0.11806372201351679</v>
      </c>
      <c r="F12" s="17">
        <f>Historicals!F14</f>
        <v>0.15011630912380461</v>
      </c>
      <c r="G12" s="6">
        <f>G11/G9</f>
        <v>0.155</v>
      </c>
      <c r="H12" s="6">
        <f>H11/H9</f>
        <v>0.16</v>
      </c>
      <c r="I12" s="6">
        <f>I11/I9</f>
        <v>0.16500000000000001</v>
      </c>
      <c r="J12" s="6">
        <f>J11/J9</f>
        <v>0.17</v>
      </c>
      <c r="K12" s="6">
        <f>K11/K9</f>
        <v>0.17</v>
      </c>
    </row>
    <row r="13" spans="1:11">
      <c r="A13" t="s">
        <v>118</v>
      </c>
      <c r="B13" s="15"/>
      <c r="C13" s="15"/>
      <c r="D13" s="15"/>
      <c r="E13" s="15"/>
      <c r="F13" s="15"/>
      <c r="G13" s="5">
        <f>G9*Assumptions!B10</f>
        <v>13544.9337375</v>
      </c>
      <c r="H13" s="5">
        <f>H9*Assumptions!C10</f>
        <v>14506.624032862503</v>
      </c>
      <c r="I13" s="5">
        <f>I9*Assumptions!D10</f>
        <v>15388.626774060544</v>
      </c>
      <c r="J13" s="5">
        <f>J9*Assumptions!E10</f>
        <v>16325.409428931476</v>
      </c>
      <c r="K13" s="5">
        <f>K9*Assumptions!F10</f>
        <v>17235.55100459441</v>
      </c>
    </row>
    <row r="14" spans="1:11">
      <c r="A14" t="s">
        <v>119</v>
      </c>
      <c r="B14" s="15"/>
      <c r="C14" s="15"/>
      <c r="D14" s="15"/>
      <c r="E14" s="15"/>
      <c r="F14" s="15"/>
      <c r="G14" s="5">
        <f>G11-G13</f>
        <v>24627.152249999996</v>
      </c>
      <c r="H14" s="5">
        <f>H11-H13</f>
        <v>27694.464062737508</v>
      </c>
      <c r="I14" s="5">
        <f>I11-I13</f>
        <v>30777.253548121091</v>
      </c>
      <c r="J14" s="5">
        <f>J11-J13</f>
        <v>34134.946987765819</v>
      </c>
      <c r="K14" s="5">
        <f>K11-K13</f>
        <v>36037.970282333772</v>
      </c>
    </row>
    <row r="15" spans="1:11">
      <c r="A15" t="s">
        <v>120</v>
      </c>
      <c r="B15" s="15"/>
      <c r="C15" s="15"/>
      <c r="D15" s="15"/>
      <c r="E15" s="15"/>
      <c r="F15" s="15"/>
      <c r="G15" s="5">
        <f>G29*Assumptions!B17</f>
        <v>5610.0800000000008</v>
      </c>
      <c r="H15" s="5">
        <f>H29*Assumptions!C17</f>
        <v>4769.7534027500005</v>
      </c>
      <c r="I15" s="5">
        <f>I29*Assumptions!D17</f>
        <v>3879.2566192902818</v>
      </c>
      <c r="J15" s="5">
        <f>J29*Assumptions!E17</f>
        <v>2840.6148373264027</v>
      </c>
      <c r="K15" s="5">
        <f>K29*Assumptions!F17</f>
        <v>1375.267584137491</v>
      </c>
    </row>
    <row r="16" spans="1:11">
      <c r="A16" t="s">
        <v>121</v>
      </c>
      <c r="B16" s="15"/>
      <c r="C16" s="15"/>
      <c r="D16" s="15"/>
      <c r="E16" s="15"/>
      <c r="F16" s="15"/>
      <c r="G16" s="5">
        <f>G14-G15</f>
        <v>19017.072249999994</v>
      </c>
      <c r="H16" s="5">
        <f>H14-H15</f>
        <v>22924.710659987508</v>
      </c>
      <c r="I16" s="5">
        <f>I14-I15</f>
        <v>26897.996928830809</v>
      </c>
      <c r="J16" s="5">
        <f>J14-J15</f>
        <v>31294.332150439415</v>
      </c>
      <c r="K16" s="5">
        <f>K14-K15</f>
        <v>34662.702698196284</v>
      </c>
    </row>
    <row r="17" spans="1:11">
      <c r="A17" t="s">
        <v>122</v>
      </c>
      <c r="B17" s="15"/>
      <c r="C17" s="15"/>
      <c r="D17" s="15"/>
      <c r="E17" s="15"/>
      <c r="F17" s="15"/>
      <c r="G17" s="5">
        <f>MAX(0,G16*Assumptions!B11)</f>
        <v>4754.2680624999985</v>
      </c>
      <c r="H17" s="5">
        <f>MAX(0,H16*Assumptions!C11)</f>
        <v>5731.177664996877</v>
      </c>
      <c r="I17" s="5">
        <f>MAX(0,I16*Assumptions!D11)</f>
        <v>6724.4992322077023</v>
      </c>
      <c r="J17" s="5">
        <f>MAX(0,J16*Assumptions!E11)</f>
        <v>7823.5830376098538</v>
      </c>
      <c r="K17" s="5">
        <f>MAX(0,K16*Assumptions!F11)</f>
        <v>8665.6756745490711</v>
      </c>
    </row>
    <row r="18" spans="1:11">
      <c r="A18" t="s">
        <v>123</v>
      </c>
      <c r="B18" s="15">
        <f>Historicals!B15</f>
        <v>41749</v>
      </c>
      <c r="C18" s="15">
        <f>Historicals!C15</f>
        <v>8075</v>
      </c>
      <c r="D18" s="15">
        <f>Historicals!D15</f>
        <v>-4910</v>
      </c>
      <c r="E18" s="15">
        <f>Historicals!E15</f>
        <v>3174</v>
      </c>
      <c r="F18" s="15">
        <f>Historicals!F15</f>
        <v>10886</v>
      </c>
      <c r="G18" s="5">
        <f>G16-G17</f>
        <v>14262.804187499994</v>
      </c>
      <c r="H18" s="5">
        <f>H16-H17</f>
        <v>17193.53299499063</v>
      </c>
      <c r="I18" s="5">
        <f>I16-I17</f>
        <v>20173.497696623108</v>
      </c>
      <c r="J18" s="5">
        <f>J16-J17</f>
        <v>23470.749112829562</v>
      </c>
      <c r="K18" s="5">
        <f>K16-K17</f>
        <v>25997.027023647213</v>
      </c>
    </row>
    <row r="21" spans="1:11">
      <c r="A21" s="60" t="s">
        <v>124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spans="1:11">
      <c r="A22" t="s">
        <v>42</v>
      </c>
      <c r="G22" s="5">
        <f>G11</f>
        <v>38172.085987499995</v>
      </c>
      <c r="H22" s="5">
        <f>H11</f>
        <v>42201.088095600011</v>
      </c>
      <c r="I22" s="5">
        <f>I11</f>
        <v>46165.880322181634</v>
      </c>
      <c r="J22" s="5">
        <f>J11</f>
        <v>50460.356416697294</v>
      </c>
      <c r="K22" s="5">
        <f>K11</f>
        <v>53273.521286928182</v>
      </c>
    </row>
    <row r="23" spans="1:11">
      <c r="A23" t="s">
        <v>125</v>
      </c>
      <c r="G23" s="5">
        <f>-G17</f>
        <v>-4754.2680624999985</v>
      </c>
      <c r="H23" s="5">
        <f>-H17</f>
        <v>-5731.177664996877</v>
      </c>
      <c r="I23" s="5">
        <f>-I17</f>
        <v>-6724.4992322077023</v>
      </c>
      <c r="J23" s="5">
        <f>-J17</f>
        <v>-7823.5830376098538</v>
      </c>
      <c r="K23" s="5">
        <f>-K17</f>
        <v>-8665.6756745490711</v>
      </c>
    </row>
    <row r="24" spans="1:11">
      <c r="A24" t="s">
        <v>126</v>
      </c>
      <c r="G24" s="5">
        <f>-((G9*Assumptions!B16)-(F9*Assumptions!B16))</f>
        <v>-1413.1522499999992</v>
      </c>
      <c r="H24" s="5">
        <f>-((H9*Assumptions!C16)-(G9*Assumptions!B16))</f>
        <v>-1748.5278097500086</v>
      </c>
      <c r="I24" s="5">
        <f>-((I9*Assumptions!D16)-(H9*Assumptions!C16))</f>
        <v>-1603.6413476328016</v>
      </c>
      <c r="J24" s="5">
        <f>-((J9*Assumptions!E16)-(I9*Assumptions!D16))</f>
        <v>-1703.2411906744237</v>
      </c>
      <c r="K24" s="5">
        <f>-((K9*Assumptions!F16)-(J9*Assumptions!E16))</f>
        <v>-1654.8028648416985</v>
      </c>
    </row>
    <row r="25" spans="1:11">
      <c r="A25" t="s">
        <v>92</v>
      </c>
      <c r="G25" s="5">
        <f>-G9*Assumptions!B12</f>
        <v>-20000</v>
      </c>
      <c r="H25" s="5">
        <f>-H9*Assumptions!C12</f>
        <v>-22000</v>
      </c>
      <c r="I25" s="5">
        <f>-I9*Assumptions!D12</f>
        <v>-23000</v>
      </c>
      <c r="J25" s="5">
        <f>-J9*Assumptions!E12</f>
        <v>-19999.999999999996</v>
      </c>
      <c r="K25" s="5">
        <f>-K9*Assumptions!F12</f>
        <v>-18000</v>
      </c>
    </row>
    <row r="26" spans="1:11">
      <c r="A26" t="s">
        <v>127</v>
      </c>
      <c r="G26" s="5">
        <f>SUM(G22:G25)</f>
        <v>12004.665674999997</v>
      </c>
      <c r="H26" s="5">
        <f>SUM(H22:H25)</f>
        <v>12721.382620853125</v>
      </c>
      <c r="I26" s="5">
        <f>SUM(I22:I25)</f>
        <v>14837.739742341131</v>
      </c>
      <c r="J26" s="5">
        <f>SUM(J22:J25)</f>
        <v>20933.532188413021</v>
      </c>
      <c r="K26" s="5">
        <f>SUM(K22:K25)</f>
        <v>24953.042747537416</v>
      </c>
    </row>
    <row r="27" spans="1:11">
      <c r="A27" t="s">
        <v>128</v>
      </c>
      <c r="G27" s="5"/>
      <c r="H27" s="5"/>
      <c r="I27" s="5"/>
      <c r="J27" s="5"/>
      <c r="K27" s="5"/>
    </row>
    <row r="28" spans="1:11">
      <c r="A28" t="s">
        <v>129</v>
      </c>
      <c r="G28" s="5"/>
      <c r="H28" s="5"/>
      <c r="I28" s="5"/>
      <c r="J28" s="5"/>
      <c r="K28" s="5"/>
    </row>
    <row r="29" spans="1:11">
      <c r="A29" t="s">
        <v>130</v>
      </c>
      <c r="G29" s="5">
        <f>Historicals!F19</f>
        <v>80144</v>
      </c>
      <c r="H29" s="5">
        <f>G31</f>
        <v>68139.334325000003</v>
      </c>
      <c r="I29" s="5">
        <f>H31</f>
        <v>55417.951704146879</v>
      </c>
      <c r="J29" s="5">
        <f>I31</f>
        <v>40580.211961805748</v>
      </c>
      <c r="K29" s="5">
        <f>J31</f>
        <v>19646.679773392727</v>
      </c>
    </row>
    <row r="30" spans="1:11">
      <c r="G30" s="5">
        <f>MIN(G29,MAX(0,G26))</f>
        <v>12004.665674999997</v>
      </c>
      <c r="H30" s="5">
        <f>MIN(H29,MAX(0,H26))</f>
        <v>12721.382620853125</v>
      </c>
      <c r="I30" s="5">
        <f>MIN(I29,MAX(0,I26))</f>
        <v>14837.739742341131</v>
      </c>
      <c r="J30" s="5">
        <f>MIN(J29,MAX(0,J26))</f>
        <v>20933.532188413021</v>
      </c>
      <c r="K30" s="5">
        <f>MIN(K29,MAX(0,K26))</f>
        <v>19646.679773392727</v>
      </c>
    </row>
    <row r="31" spans="1:11">
      <c r="G31" s="5">
        <f>G29-G30</f>
        <v>68139.334325000003</v>
      </c>
      <c r="H31" s="5">
        <f>H29-H30</f>
        <v>55417.951704146879</v>
      </c>
      <c r="I31" s="5">
        <f>I29-I30</f>
        <v>40580.211961805748</v>
      </c>
      <c r="J31" s="5">
        <f>J29-J30</f>
        <v>19646.679773392727</v>
      </c>
      <c r="K31" s="5">
        <f>K29-K30</f>
        <v>0</v>
      </c>
    </row>
  </sheetData>
  <mergeCells count="4">
    <mergeCell ref="A1:K1"/>
    <mergeCell ref="A2:K2"/>
    <mergeCell ref="A6:K6"/>
    <mergeCell ref="A21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/>
  </sheetViews>
  <sheetFormatPr defaultRowHeight="14"/>
  <cols>
    <col min="1" max="1" width="48" customWidth="1"/>
    <col min="2" max="11" width="14" customWidth="1"/>
  </cols>
  <sheetData>
    <row r="1" spans="1:11" ht="20">
      <c r="A1" s="58" t="s">
        <v>131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4.5">
      <c r="A2" s="59" t="s">
        <v>132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>
      <c r="A4" s="38" t="s">
        <v>133</v>
      </c>
      <c r="B4" s="38" t="s">
        <v>134</v>
      </c>
      <c r="C4" s="38" t="s">
        <v>135</v>
      </c>
    </row>
    <row r="5" spans="1:11">
      <c r="A5" t="s">
        <v>136</v>
      </c>
      <c r="B5" s="33">
        <f>ABS(Forecast!F12-Historicals!F14)</f>
        <v>0</v>
      </c>
      <c r="C5" t="str">
        <f>IF(B5&lt;0.0001,"OK","CHECK")</f>
        <v>OK</v>
      </c>
    </row>
    <row r="6" spans="1:11">
      <c r="A6" t="s">
        <v>137</v>
      </c>
      <c r="B6" s="33">
        <f>ABS(Forecast!F18-Historicals!F15)</f>
        <v>0</v>
      </c>
      <c r="C6" t="str">
        <f t="shared" ref="C6:C14" si="0">IF(B6&lt;1,"OK","CHECK")</f>
        <v>OK</v>
      </c>
    </row>
    <row r="7" spans="1:11">
      <c r="A7" t="s">
        <v>138</v>
      </c>
      <c r="B7" s="33">
        <f>ABS('Balance Sheet'!D37)</f>
        <v>0</v>
      </c>
      <c r="C7" t="str">
        <f t="shared" si="0"/>
        <v>OK</v>
      </c>
    </row>
    <row r="8" spans="1:11">
      <c r="A8" t="s">
        <v>139</v>
      </c>
      <c r="B8" s="33">
        <f>ABS('Balance Sheet'!E37)</f>
        <v>0</v>
      </c>
      <c r="C8" t="str">
        <f t="shared" si="0"/>
        <v>OK</v>
      </c>
    </row>
    <row r="9" spans="1:11">
      <c r="A9" t="s">
        <v>140</v>
      </c>
      <c r="B9" s="33">
        <f>ABS('Balance Sheet'!F37)</f>
        <v>0</v>
      </c>
      <c r="C9" t="str">
        <f t="shared" si="0"/>
        <v>OK</v>
      </c>
    </row>
    <row r="10" spans="1:11">
      <c r="A10" t="s">
        <v>141</v>
      </c>
      <c r="B10" s="33">
        <f>ABS('Balance Sheet'!G37)</f>
        <v>0</v>
      </c>
      <c r="C10" t="str">
        <f t="shared" si="0"/>
        <v>OK</v>
      </c>
    </row>
    <row r="11" spans="1:11">
      <c r="A11" t="s">
        <v>142</v>
      </c>
      <c r="B11" s="33">
        <f>ABS('Balance Sheet'!H37)</f>
        <v>0</v>
      </c>
      <c r="C11" t="str">
        <f t="shared" si="0"/>
        <v>OK</v>
      </c>
    </row>
    <row r="12" spans="1:11">
      <c r="A12" t="s">
        <v>143</v>
      </c>
      <c r="B12" s="33">
        <f>ABS('Cash Flow'!D27-'Debt Schedule'!D11)</f>
        <v>0</v>
      </c>
      <c r="C12" t="str">
        <f t="shared" si="0"/>
        <v>OK</v>
      </c>
    </row>
    <row r="13" spans="1:11">
      <c r="A13" t="s">
        <v>144</v>
      </c>
      <c r="B13" s="33">
        <f>ABS('Cash Flow'!H27-'Debt Schedule'!H11)</f>
        <v>0</v>
      </c>
      <c r="C13" t="str">
        <f t="shared" si="0"/>
        <v>OK</v>
      </c>
    </row>
    <row r="14" spans="1:11">
      <c r="A14" t="s">
        <v>145</v>
      </c>
      <c r="B14" s="33">
        <f>ABS('Debt Schedule'!D13-('Debt Schedule'!D10-'Debt Schedule'!D11))</f>
        <v>0</v>
      </c>
      <c r="C14" t="str">
        <f t="shared" si="0"/>
        <v>OK</v>
      </c>
    </row>
    <row r="15" spans="1:11">
      <c r="A15" t="s">
        <v>146</v>
      </c>
      <c r="B15" s="33">
        <f>MIN('Debt Schedule'!D11:H11)</f>
        <v>13000</v>
      </c>
      <c r="C15" t="str">
        <f>IF(B15&gt;=13000,"OK","CHECK")</f>
        <v>OK</v>
      </c>
    </row>
    <row r="16" spans="1:11">
      <c r="A16" t="s">
        <v>147</v>
      </c>
      <c r="B16" s="33">
        <f>'DCF Valuation'!B30-'DCF Valuation'!B35</f>
        <v>8.7145085073640383E-2</v>
      </c>
      <c r="C16" t="str">
        <f>IF(B16&gt;0,"OK","CHECK")</f>
        <v>OK</v>
      </c>
    </row>
    <row r="17" spans="1:3">
      <c r="A17" t="s">
        <v>148</v>
      </c>
      <c r="B17" s="33">
        <f>'DCF Valuation'!B30-'DCF Valuation'!B78</f>
        <v>4.8733680273171445E-2</v>
      </c>
      <c r="C17" t="str">
        <f>IF(B17&gt;0,"OK","CHECK")</f>
        <v>OK</v>
      </c>
    </row>
    <row r="18" spans="1:3">
      <c r="A18" t="s">
        <v>149</v>
      </c>
      <c r="B18" s="33">
        <f>3.5-'Credit Underwriting'!I39</f>
        <v>-0.18999999999999995</v>
      </c>
      <c r="C18" t="str">
        <f>IF(B18&gt;=0,"OK","BREACH")</f>
        <v>BREACH</v>
      </c>
    </row>
    <row r="19" spans="1:3">
      <c r="A19" t="s">
        <v>150</v>
      </c>
      <c r="B19" s="33">
        <f>'Credit Underwriting'!J39-1.5</f>
        <v>-0.73</v>
      </c>
      <c r="C19" t="str">
        <f>IF(B19&gt;=0,"OK","BREACH")</f>
        <v>BREACH</v>
      </c>
    </row>
    <row r="20" spans="1:3">
      <c r="A20" t="s">
        <v>151</v>
      </c>
      <c r="B20" s="33">
        <f>'Credit Underwriting'!J40-1.5</f>
        <v>-0.7</v>
      </c>
      <c r="C20" t="str">
        <f>IF(B20&gt;=0,"OK","BREACH")</f>
        <v>BREACH</v>
      </c>
    </row>
    <row r="21" spans="1:3">
      <c r="A21" t="s">
        <v>152</v>
      </c>
      <c r="B21" s="57">
        <f>ABS('DCF Valuation'!B14-(1/(1+'DCF Valuation'!B30)))</f>
        <v>0</v>
      </c>
      <c r="C21" t="str">
        <f>IF(B21&lt;0.000001,"OK","CHECK")</f>
        <v>OK</v>
      </c>
    </row>
    <row r="22" spans="1:3">
      <c r="A22" t="s">
        <v>153</v>
      </c>
      <c r="B22" s="49">
        <f>'DCF Valuation'!B78</f>
        <v>6.8411404800468936E-2</v>
      </c>
      <c r="C22" t="str">
        <f>IF(B22&lt;=0.04,"OK","STRETCH")</f>
        <v>STRETCH</v>
      </c>
    </row>
  </sheetData>
  <mergeCells count="2">
    <mergeCell ref="A1:K1"/>
    <mergeCell ref="A2:K2"/>
  </mergeCells>
  <conditionalFormatting sqref="C5:C20">
    <cfRule type="expression" dxfId="3" priority="2">
      <formula>OR(C5="CHECK",C5="BREACH")</formula>
    </cfRule>
  </conditionalFormatting>
  <conditionalFormatting sqref="C5:C22">
    <cfRule type="expression" dxfId="2" priority="1">
      <formula>C5="OK"</formula>
    </cfRule>
  </conditionalFormatting>
  <conditionalFormatting sqref="C21">
    <cfRule type="expression" dxfId="1" priority="4">
      <formula>C21="CHECK"</formula>
    </cfRule>
  </conditionalFormatting>
  <conditionalFormatting sqref="C22">
    <cfRule type="expression" dxfId="0" priority="6">
      <formula>C22="STRETCH"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1"/>
  <sheetViews>
    <sheetView workbookViewId="0"/>
  </sheetViews>
  <sheetFormatPr defaultRowHeight="14"/>
  <cols>
    <col min="1" max="1" width="34" customWidth="1"/>
    <col min="2" max="2" width="28" customWidth="1"/>
    <col min="3" max="3" width="46" customWidth="1"/>
    <col min="4" max="4" width="65" customWidth="1"/>
    <col min="5" max="11" width="14" customWidth="1"/>
  </cols>
  <sheetData>
    <row r="1" spans="1:11" ht="20">
      <c r="A1" s="58" t="s">
        <v>154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4.5">
      <c r="A2" s="59" t="s">
        <v>155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>
      <c r="A4" s="4" t="s">
        <v>156</v>
      </c>
      <c r="B4" s="4" t="s">
        <v>157</v>
      </c>
      <c r="C4" s="4" t="s">
        <v>158</v>
      </c>
      <c r="D4" s="4" t="s">
        <v>159</v>
      </c>
      <c r="E4" s="4" t="s">
        <v>160</v>
      </c>
    </row>
    <row r="5" spans="1:11" ht="28">
      <c r="A5" s="3" t="s">
        <v>36</v>
      </c>
      <c r="B5" s="3" t="s">
        <v>161</v>
      </c>
      <c r="C5" s="3" t="s">
        <v>162</v>
      </c>
      <c r="D5" s="3" t="s">
        <v>163</v>
      </c>
      <c r="E5" s="3" t="s">
        <v>164</v>
      </c>
    </row>
    <row r="6" spans="1:11" ht="28">
      <c r="A6" s="3" t="s">
        <v>37</v>
      </c>
      <c r="B6" s="3" t="s">
        <v>165</v>
      </c>
      <c r="C6" s="3" t="s">
        <v>162</v>
      </c>
      <c r="D6" s="3" t="s">
        <v>166</v>
      </c>
      <c r="E6" s="3" t="s">
        <v>164</v>
      </c>
    </row>
    <row r="7" spans="1:11" ht="28">
      <c r="A7" s="3" t="s">
        <v>38</v>
      </c>
      <c r="B7" s="3" t="s">
        <v>167</v>
      </c>
      <c r="C7" s="3" t="s">
        <v>168</v>
      </c>
      <c r="D7" s="3" t="s">
        <v>169</v>
      </c>
      <c r="E7" s="3" t="s">
        <v>164</v>
      </c>
    </row>
    <row r="8" spans="1:11" ht="28">
      <c r="A8" s="3" t="s">
        <v>39</v>
      </c>
      <c r="B8" s="3" t="s">
        <v>170</v>
      </c>
      <c r="C8" s="3" t="s">
        <v>171</v>
      </c>
      <c r="D8" s="3" t="s">
        <v>172</v>
      </c>
      <c r="E8" s="3" t="s">
        <v>164</v>
      </c>
    </row>
    <row r="9" spans="1:11" ht="28">
      <c r="A9" s="3" t="s">
        <v>40</v>
      </c>
      <c r="B9" s="3" t="s">
        <v>173</v>
      </c>
      <c r="C9" s="3" t="s">
        <v>174</v>
      </c>
      <c r="D9" s="3" t="s">
        <v>175</v>
      </c>
      <c r="E9" s="3" t="s">
        <v>164</v>
      </c>
    </row>
    <row r="12" spans="1:11" ht="28">
      <c r="A12" s="3" t="s">
        <v>176</v>
      </c>
      <c r="B12" s="3" t="s">
        <v>177</v>
      </c>
      <c r="C12" s="3" t="s">
        <v>178</v>
      </c>
      <c r="D12" s="3" t="s">
        <v>179</v>
      </c>
      <c r="E12" s="3" t="s">
        <v>180</v>
      </c>
    </row>
    <row r="13" spans="1:11" ht="28">
      <c r="A13" s="3" t="s">
        <v>181</v>
      </c>
      <c r="B13" s="3" t="s">
        <v>177</v>
      </c>
      <c r="C13" s="3" t="s">
        <v>182</v>
      </c>
      <c r="D13" s="3" t="s">
        <v>183</v>
      </c>
      <c r="E13" s="3" t="s">
        <v>180</v>
      </c>
    </row>
    <row r="14" spans="1:11" ht="28">
      <c r="A14" s="3" t="s">
        <v>184</v>
      </c>
      <c r="B14" s="3" t="s">
        <v>177</v>
      </c>
      <c r="C14" s="3" t="s">
        <v>185</v>
      </c>
      <c r="D14" s="3" t="s">
        <v>179</v>
      </c>
      <c r="E14" s="3" t="s">
        <v>180</v>
      </c>
    </row>
    <row r="15" spans="1:11" ht="28">
      <c r="A15" s="3" t="s">
        <v>186</v>
      </c>
      <c r="B15" s="3" t="s">
        <v>187</v>
      </c>
      <c r="C15" s="3" t="s">
        <v>188</v>
      </c>
      <c r="D15" s="3" t="s">
        <v>189</v>
      </c>
      <c r="E15" s="3" t="s">
        <v>190</v>
      </c>
    </row>
    <row r="16" spans="1:11" ht="42">
      <c r="A16" s="3" t="s">
        <v>191</v>
      </c>
      <c r="B16" s="3" t="s">
        <v>187</v>
      </c>
      <c r="C16" s="3" t="s">
        <v>192</v>
      </c>
      <c r="D16" s="3" t="s">
        <v>189</v>
      </c>
      <c r="E16" s="3" t="s">
        <v>193</v>
      </c>
    </row>
    <row r="19" spans="1:5" ht="28">
      <c r="A19" s="3" t="s">
        <v>194</v>
      </c>
      <c r="B19" s="3" t="s">
        <v>195</v>
      </c>
      <c r="C19" s="3" t="s">
        <v>196</v>
      </c>
      <c r="D19" s="3" t="s">
        <v>197</v>
      </c>
      <c r="E19" s="3" t="s">
        <v>198</v>
      </c>
    </row>
    <row r="20" spans="1:5" ht="28">
      <c r="A20" s="3" t="s">
        <v>199</v>
      </c>
      <c r="B20" s="3" t="s">
        <v>187</v>
      </c>
      <c r="C20" s="3" t="s">
        <v>200</v>
      </c>
      <c r="D20" s="3" t="s">
        <v>189</v>
      </c>
      <c r="E20" s="3" t="s">
        <v>198</v>
      </c>
    </row>
    <row r="21" spans="1:5" ht="28">
      <c r="A21" s="3" t="s">
        <v>201</v>
      </c>
      <c r="B21" s="3" t="s">
        <v>187</v>
      </c>
      <c r="C21" s="3" t="s">
        <v>202</v>
      </c>
      <c r="D21" s="3" t="s">
        <v>189</v>
      </c>
      <c r="E21" s="3" t="s">
        <v>198</v>
      </c>
    </row>
    <row r="22" spans="1:5" ht="28">
      <c r="A22" s="3" t="s">
        <v>203</v>
      </c>
      <c r="B22" s="3" t="s">
        <v>204</v>
      </c>
      <c r="C22" s="3" t="s">
        <v>205</v>
      </c>
      <c r="D22" s="3" t="s">
        <v>206</v>
      </c>
      <c r="E22" s="3" t="s">
        <v>198</v>
      </c>
    </row>
    <row r="23" spans="1:5" ht="28">
      <c r="A23" s="3" t="s">
        <v>207</v>
      </c>
      <c r="B23" s="3" t="s">
        <v>208</v>
      </c>
      <c r="C23" s="3" t="s">
        <v>209</v>
      </c>
      <c r="D23" s="3" t="s">
        <v>210</v>
      </c>
      <c r="E23" s="3" t="s">
        <v>198</v>
      </c>
    </row>
    <row r="24" spans="1:5" ht="28">
      <c r="A24" s="3" t="s">
        <v>211</v>
      </c>
      <c r="B24" s="3" t="s">
        <v>212</v>
      </c>
      <c r="C24" s="3" t="s">
        <v>213</v>
      </c>
      <c r="D24" s="3" t="s">
        <v>214</v>
      </c>
      <c r="E24" s="3" t="s">
        <v>215</v>
      </c>
    </row>
    <row r="25" spans="1:5" ht="28">
      <c r="A25" s="3" t="s">
        <v>216</v>
      </c>
      <c r="B25" s="3" t="s">
        <v>217</v>
      </c>
      <c r="C25" s="3" t="s">
        <v>218</v>
      </c>
      <c r="D25" s="3" t="s">
        <v>219</v>
      </c>
      <c r="E25" s="3" t="s">
        <v>220</v>
      </c>
    </row>
    <row r="26" spans="1:5" ht="28">
      <c r="A26" s="3" t="s">
        <v>221</v>
      </c>
      <c r="B26" s="3" t="s">
        <v>222</v>
      </c>
      <c r="C26" s="3" t="s">
        <v>223</v>
      </c>
      <c r="D26" s="3" t="s">
        <v>224</v>
      </c>
      <c r="E26" s="3" t="s">
        <v>215</v>
      </c>
    </row>
    <row r="27" spans="1:5" ht="42">
      <c r="A27" s="3" t="s">
        <v>225</v>
      </c>
      <c r="B27" s="3" t="s">
        <v>226</v>
      </c>
      <c r="C27" s="3" t="s">
        <v>227</v>
      </c>
      <c r="D27" s="3" t="s">
        <v>228</v>
      </c>
      <c r="E27" s="3" t="s">
        <v>229</v>
      </c>
    </row>
    <row r="29" spans="1:5" ht="42">
      <c r="A29" s="3" t="s">
        <v>230</v>
      </c>
      <c r="B29" s="3" t="s">
        <v>231</v>
      </c>
      <c r="C29" s="3" t="s">
        <v>232</v>
      </c>
      <c r="D29" s="3" t="s">
        <v>233</v>
      </c>
      <c r="E29" s="3" t="s">
        <v>198</v>
      </c>
    </row>
    <row r="30" spans="1:5" ht="28">
      <c r="A30" s="3" t="s">
        <v>234</v>
      </c>
      <c r="B30" s="3" t="s">
        <v>235</v>
      </c>
      <c r="C30" s="3" t="s">
        <v>236</v>
      </c>
      <c r="D30" s="3" t="s">
        <v>237</v>
      </c>
      <c r="E30" s="3" t="s">
        <v>238</v>
      </c>
    </row>
    <row r="31" spans="1:5" ht="42">
      <c r="A31" s="3" t="s">
        <v>239</v>
      </c>
      <c r="B31" s="3" t="s">
        <v>231</v>
      </c>
      <c r="C31" s="3" t="s">
        <v>240</v>
      </c>
      <c r="D31" s="3" t="s">
        <v>233</v>
      </c>
      <c r="E31" s="3" t="s">
        <v>198</v>
      </c>
    </row>
    <row r="32" spans="1:5" ht="28">
      <c r="A32" s="3" t="s">
        <v>241</v>
      </c>
      <c r="B32" s="3" t="s">
        <v>187</v>
      </c>
      <c r="C32" s="3" t="s">
        <v>200</v>
      </c>
      <c r="D32" s="3" t="s">
        <v>189</v>
      </c>
      <c r="E32" s="3" t="s">
        <v>198</v>
      </c>
    </row>
    <row r="33" spans="1:5" ht="56">
      <c r="A33" s="3" t="s">
        <v>242</v>
      </c>
      <c r="B33" s="3" t="s">
        <v>243</v>
      </c>
      <c r="C33" s="3" t="s">
        <v>244</v>
      </c>
      <c r="D33" s="3" t="s">
        <v>245</v>
      </c>
      <c r="E33" s="3" t="s">
        <v>246</v>
      </c>
    </row>
    <row r="34" spans="1:5" ht="42">
      <c r="A34" s="3" t="s">
        <v>247</v>
      </c>
      <c r="B34" s="3" t="s">
        <v>243</v>
      </c>
      <c r="C34" s="3" t="s">
        <v>248</v>
      </c>
      <c r="D34" s="3" t="s">
        <v>245</v>
      </c>
      <c r="E34" s="3" t="s">
        <v>249</v>
      </c>
    </row>
    <row r="36" spans="1:5" ht="28">
      <c r="A36" s="3" t="s">
        <v>250</v>
      </c>
      <c r="B36" s="3" t="s">
        <v>251</v>
      </c>
      <c r="C36" s="3" t="s">
        <v>252</v>
      </c>
      <c r="D36" s="3" t="s">
        <v>253</v>
      </c>
      <c r="E36" s="3" t="s">
        <v>198</v>
      </c>
    </row>
    <row r="37" spans="1:5" ht="28">
      <c r="A37" s="3" t="s">
        <v>254</v>
      </c>
      <c r="B37" s="3" t="s">
        <v>255</v>
      </c>
      <c r="C37" s="3" t="s">
        <v>256</v>
      </c>
      <c r="D37" s="3" t="s">
        <v>257</v>
      </c>
      <c r="E37" s="3" t="s">
        <v>198</v>
      </c>
    </row>
    <row r="38" spans="1:5" ht="28">
      <c r="A38" s="3" t="s">
        <v>258</v>
      </c>
      <c r="B38" s="3" t="s">
        <v>259</v>
      </c>
      <c r="C38" s="3" t="s">
        <v>260</v>
      </c>
      <c r="D38" s="3" t="s">
        <v>261</v>
      </c>
      <c r="E38" s="3" t="s">
        <v>198</v>
      </c>
    </row>
    <row r="39" spans="1:5" ht="28">
      <c r="A39" s="3" t="s">
        <v>262</v>
      </c>
      <c r="B39" s="3" t="s">
        <v>263</v>
      </c>
      <c r="C39" s="3" t="s">
        <v>264</v>
      </c>
      <c r="D39" s="3" t="s">
        <v>265</v>
      </c>
      <c r="E39" s="3" t="s">
        <v>198</v>
      </c>
    </row>
    <row r="40" spans="1:5" ht="28">
      <c r="A40" s="3" t="s">
        <v>266</v>
      </c>
      <c r="B40" s="3" t="s">
        <v>267</v>
      </c>
      <c r="C40" s="3" t="s">
        <v>268</v>
      </c>
      <c r="D40" s="3" t="s">
        <v>224</v>
      </c>
      <c r="E40" s="3" t="s">
        <v>215</v>
      </c>
    </row>
    <row r="41" spans="1:5" ht="28">
      <c r="A41" s="3" t="s">
        <v>269</v>
      </c>
      <c r="B41" s="3" t="s">
        <v>270</v>
      </c>
      <c r="C41" s="3" t="s">
        <v>271</v>
      </c>
      <c r="D41" s="3" t="s">
        <v>228</v>
      </c>
      <c r="E41" s="3" t="s">
        <v>215</v>
      </c>
    </row>
    <row r="42" spans="1:5" ht="28">
      <c r="A42" s="3" t="s">
        <v>272</v>
      </c>
      <c r="B42" s="3" t="s">
        <v>243</v>
      </c>
      <c r="C42" s="3" t="s">
        <v>273</v>
      </c>
      <c r="D42" s="3" t="s">
        <v>245</v>
      </c>
      <c r="E42" s="3" t="s">
        <v>243</v>
      </c>
    </row>
    <row r="44" spans="1:5" ht="70">
      <c r="A44" s="3" t="s">
        <v>274</v>
      </c>
      <c r="B44" s="3" t="s">
        <v>275</v>
      </c>
      <c r="C44" s="3" t="s">
        <v>276</v>
      </c>
      <c r="D44" s="3" t="s">
        <v>245</v>
      </c>
      <c r="E44" s="3" t="s">
        <v>277</v>
      </c>
    </row>
    <row r="45" spans="1:5" ht="70">
      <c r="A45" s="3" t="s">
        <v>278</v>
      </c>
      <c r="B45" s="3" t="s">
        <v>279</v>
      </c>
      <c r="C45" s="3" t="s">
        <v>280</v>
      </c>
      <c r="D45" s="3" t="s">
        <v>281</v>
      </c>
      <c r="E45" s="3" t="s">
        <v>282</v>
      </c>
    </row>
    <row r="46" spans="1:5" ht="42">
      <c r="A46" s="3" t="s">
        <v>283</v>
      </c>
      <c r="B46" s="3" t="s">
        <v>231</v>
      </c>
      <c r="C46" s="3" t="s">
        <v>284</v>
      </c>
      <c r="D46" s="3" t="s">
        <v>233</v>
      </c>
      <c r="E46" s="3" t="s">
        <v>198</v>
      </c>
    </row>
    <row r="47" spans="1:5" ht="42">
      <c r="A47" s="3" t="s">
        <v>285</v>
      </c>
      <c r="B47" s="3" t="s">
        <v>231</v>
      </c>
      <c r="C47" s="3" t="s">
        <v>286</v>
      </c>
      <c r="D47" s="3" t="s">
        <v>233</v>
      </c>
      <c r="E47" s="3" t="s">
        <v>198</v>
      </c>
    </row>
    <row r="49" spans="1:5" ht="28">
      <c r="A49" s="3" t="s">
        <v>287</v>
      </c>
      <c r="B49" s="3" t="s">
        <v>288</v>
      </c>
      <c r="C49" s="3" t="s">
        <v>289</v>
      </c>
      <c r="D49" s="3" t="s">
        <v>290</v>
      </c>
      <c r="E49" s="3" t="s">
        <v>291</v>
      </c>
    </row>
    <row r="50" spans="1:5" ht="28">
      <c r="A50" s="3" t="s">
        <v>211</v>
      </c>
      <c r="B50" s="3" t="s">
        <v>292</v>
      </c>
      <c r="C50" s="3" t="s">
        <v>293</v>
      </c>
      <c r="D50" s="3" t="s">
        <v>214</v>
      </c>
      <c r="E50" s="3" t="s">
        <v>291</v>
      </c>
    </row>
    <row r="51" spans="1:5" ht="28">
      <c r="A51" s="3" t="s">
        <v>294</v>
      </c>
      <c r="B51" s="3" t="s">
        <v>243</v>
      </c>
      <c r="C51" s="3" t="s">
        <v>295</v>
      </c>
      <c r="D51" s="3" t="s">
        <v>245</v>
      </c>
      <c r="E51" s="3" t="s">
        <v>296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116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297</v>
      </c>
      <c r="B2" s="59"/>
      <c r="C2" s="59"/>
      <c r="D2" s="59"/>
      <c r="E2" s="59"/>
      <c r="F2" s="59"/>
      <c r="G2" s="59"/>
      <c r="H2" s="59"/>
    </row>
    <row r="4" spans="1:8">
      <c r="A4" s="18" t="s">
        <v>298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299</v>
      </c>
      <c r="B6" s="10">
        <v>218542.51</v>
      </c>
      <c r="C6" s="10">
        <v>232139.94</v>
      </c>
      <c r="D6" s="20">
        <f>Forecast!G9</f>
        <v>246271.52249999999</v>
      </c>
      <c r="E6" s="20">
        <f>Forecast!H9</f>
        <v>263756.80059750006</v>
      </c>
      <c r="F6" s="20">
        <f>Forecast!I9</f>
        <v>279793.21407382807</v>
      </c>
      <c r="G6" s="20">
        <f>Forecast!J9</f>
        <v>296825.62598057231</v>
      </c>
      <c r="H6" s="20">
        <f>Forecast!K9</f>
        <v>313373.65462898929</v>
      </c>
    </row>
    <row r="7" spans="1:8">
      <c r="A7" t="s">
        <v>300</v>
      </c>
      <c r="B7" s="10">
        <v>25801.8</v>
      </c>
      <c r="C7" s="10">
        <v>34847.730000000003</v>
      </c>
      <c r="D7" s="20">
        <f>Forecast!G11</f>
        <v>38172.085987499995</v>
      </c>
      <c r="E7" s="20">
        <f>Forecast!H11</f>
        <v>42201.088095600011</v>
      </c>
      <c r="F7" s="20">
        <f>Forecast!I11</f>
        <v>46165.880322181634</v>
      </c>
      <c r="G7" s="20">
        <f>Forecast!J11</f>
        <v>50460.356416697294</v>
      </c>
      <c r="H7" s="20">
        <f>Forecast!K11</f>
        <v>53273.521286928182</v>
      </c>
    </row>
    <row r="8" spans="1:8">
      <c r="A8" t="s">
        <v>87</v>
      </c>
      <c r="B8" s="19">
        <f t="shared" ref="B8:H8" si="0">B7/B6</f>
        <v>0.1180630715735808</v>
      </c>
      <c r="C8" s="19">
        <f t="shared" si="0"/>
        <v>0.15011518483204572</v>
      </c>
      <c r="D8" s="21">
        <f t="shared" si="0"/>
        <v>0.155</v>
      </c>
      <c r="E8" s="21">
        <f t="shared" si="0"/>
        <v>0.16</v>
      </c>
      <c r="F8" s="21">
        <f t="shared" si="0"/>
        <v>0.16500000000000001</v>
      </c>
      <c r="G8" s="21">
        <f t="shared" si="0"/>
        <v>0.17</v>
      </c>
      <c r="H8" s="21">
        <f t="shared" si="0"/>
        <v>0.17</v>
      </c>
    </row>
    <row r="9" spans="1:8">
      <c r="A9" t="s">
        <v>301</v>
      </c>
      <c r="B9" s="10">
        <v>1037.18</v>
      </c>
      <c r="C9" s="10">
        <v>906.49</v>
      </c>
      <c r="D9" s="20">
        <f>MAX(0,'Debt Schedule'!D15)</f>
        <v>355.39800000000002</v>
      </c>
      <c r="E9" s="20">
        <f>MAX(0,'Debt Schedule'!E15)</f>
        <v>520</v>
      </c>
      <c r="F9" s="20">
        <f>MAX(0,'Debt Schedule'!F15)</f>
        <v>598.50277877006624</v>
      </c>
      <c r="G9" s="20">
        <f>MAX(0,'Debt Schedule'!G15)</f>
        <v>670.84516252275387</v>
      </c>
      <c r="H9" s="20">
        <f>MAX(0,'Debt Schedule'!H15)</f>
        <v>837.92713821626319</v>
      </c>
    </row>
    <row r="10" spans="1:8">
      <c r="A10" t="s">
        <v>302</v>
      </c>
      <c r="B10" s="10">
        <v>-7340.95</v>
      </c>
      <c r="C10" s="10">
        <v>-7167.06</v>
      </c>
      <c r="D10" s="20">
        <f>-'Debt Schedule'!D14</f>
        <v>-5953.9473000000007</v>
      </c>
      <c r="E10" s="20">
        <f>-'Debt Schedule'!E14</f>
        <v>-6098.3223801373133</v>
      </c>
      <c r="F10" s="20">
        <f>-'Debt Schedule'!F14</f>
        <v>-6039.4452960597637</v>
      </c>
      <c r="G10" s="20">
        <f>-'Debt Schedule'!G14</f>
        <v>-5897.3027390671696</v>
      </c>
      <c r="H10" s="20">
        <f>-'Debt Schedule'!H14</f>
        <v>-5526.387744481528</v>
      </c>
    </row>
    <row r="11" spans="1:8">
      <c r="A11" t="s">
        <v>303</v>
      </c>
      <c r="B11" s="10">
        <v>-10421.33</v>
      </c>
      <c r="C11" s="10">
        <v>-11954.51</v>
      </c>
      <c r="D11" s="20">
        <f>-'PP&amp;E Schedule'!D9</f>
        <v>-11982.277535249998</v>
      </c>
      <c r="E11" s="20">
        <f>-'PP&amp;E Schedule'!E9</f>
        <v>-12793.719890403374</v>
      </c>
      <c r="F11" s="20">
        <f>-'PP&amp;E Schedule'!F9</f>
        <v>-13536.725955324386</v>
      </c>
      <c r="G11" s="20">
        <f>-'PP&amp;E Schedule'!G9</f>
        <v>-14232.197323053908</v>
      </c>
      <c r="H11" s="20">
        <f>-'PP&amp;E Schedule'!H9</f>
        <v>-14822.712503598928</v>
      </c>
    </row>
    <row r="12" spans="1:8">
      <c r="A12" t="s">
        <v>119</v>
      </c>
      <c r="B12" s="10">
        <f t="shared" ref="B12:H12" si="1">B7+B9+B10+B11</f>
        <v>9076.6999999999989</v>
      </c>
      <c r="C12" s="10">
        <f t="shared" si="1"/>
        <v>16632.650000000001</v>
      </c>
      <c r="D12" s="20">
        <f t="shared" si="1"/>
        <v>20591.259152250001</v>
      </c>
      <c r="E12" s="20">
        <f t="shared" si="1"/>
        <v>23829.045825059322</v>
      </c>
      <c r="F12" s="20">
        <f t="shared" si="1"/>
        <v>27188.211849567553</v>
      </c>
      <c r="G12" s="20">
        <f t="shared" si="1"/>
        <v>31001.701517098969</v>
      </c>
      <c r="H12" s="20">
        <f t="shared" si="1"/>
        <v>33762.348177063985</v>
      </c>
    </row>
    <row r="13" spans="1:8">
      <c r="A13" t="s">
        <v>304</v>
      </c>
      <c r="B13" s="10">
        <v>190.81</v>
      </c>
      <c r="C13" s="10">
        <v>368.5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</row>
    <row r="14" spans="1:8">
      <c r="A14" t="s">
        <v>305</v>
      </c>
      <c r="B14" s="10">
        <v>-854.64</v>
      </c>
      <c r="C14" s="10">
        <v>-1032.46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</row>
    <row r="15" spans="1:8">
      <c r="A15" t="s">
        <v>306</v>
      </c>
      <c r="B15" s="10">
        <v>8412.8700000000008</v>
      </c>
      <c r="C15" s="10">
        <v>15968.69</v>
      </c>
      <c r="D15" s="20">
        <f>SUM(D12:D14)</f>
        <v>20591.259152250001</v>
      </c>
      <c r="E15" s="20">
        <f>SUM(E12:E14)</f>
        <v>23829.045825059322</v>
      </c>
      <c r="F15" s="20">
        <f>SUM(F12:F14)</f>
        <v>27188.211849567553</v>
      </c>
      <c r="G15" s="20">
        <f>SUM(G12:G14)</f>
        <v>31001.701517098969</v>
      </c>
      <c r="H15" s="20">
        <f>SUM(H12:H14)</f>
        <v>33762.348177063985</v>
      </c>
    </row>
    <row r="16" spans="1:8">
      <c r="A16" t="s">
        <v>307</v>
      </c>
      <c r="B16" s="10">
        <v>-5239.09</v>
      </c>
      <c r="C16" s="10">
        <v>-5082.87</v>
      </c>
      <c r="D16" s="20">
        <f>-MAX(0,D15*Assumptions!B11)</f>
        <v>-5147.8147880625002</v>
      </c>
      <c r="E16" s="20">
        <f>-MAX(0,E15*Assumptions!C11)</f>
        <v>-5957.2614562648305</v>
      </c>
      <c r="F16" s="20">
        <f>-MAX(0,F15*Assumptions!D11)</f>
        <v>-6797.0529623918883</v>
      </c>
      <c r="G16" s="20">
        <f>-MAX(0,G15*Assumptions!E11)</f>
        <v>-7750.4253792747422</v>
      </c>
      <c r="H16" s="20">
        <f>-MAX(0,H15*Assumptions!F11)</f>
        <v>-8440.5870442659962</v>
      </c>
    </row>
    <row r="17" spans="1:8">
      <c r="A17" t="s">
        <v>308</v>
      </c>
      <c r="B17" s="10">
        <v>3173.78</v>
      </c>
      <c r="C17" s="10">
        <v>10885.82</v>
      </c>
      <c r="D17" s="20">
        <f>D15+D16</f>
        <v>15443.4443641875</v>
      </c>
      <c r="E17" s="20">
        <f>E15+E16</f>
        <v>17871.784368794491</v>
      </c>
      <c r="F17" s="20">
        <f>F15+F16</f>
        <v>20391.158887175665</v>
      </c>
      <c r="G17" s="20">
        <f>G15+G16</f>
        <v>23251.276137824228</v>
      </c>
      <c r="H17" s="20">
        <f>H15+H16</f>
        <v>25321.76113279799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309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310</v>
      </c>
      <c r="B2" s="59"/>
      <c r="C2" s="59"/>
      <c r="D2" s="59"/>
      <c r="E2" s="59"/>
      <c r="F2" s="59"/>
      <c r="G2" s="59"/>
      <c r="H2" s="59"/>
    </row>
    <row r="4" spans="1:8">
      <c r="A4" s="18" t="s">
        <v>298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s="63" t="s">
        <v>311</v>
      </c>
      <c r="B6" s="63"/>
      <c r="C6" s="63"/>
      <c r="D6" s="63"/>
      <c r="E6" s="63"/>
      <c r="F6" s="63"/>
      <c r="G6" s="63"/>
      <c r="H6" s="63"/>
    </row>
    <row r="7" spans="1:8">
      <c r="A7" t="s">
        <v>312</v>
      </c>
      <c r="B7" s="10">
        <v>125215.17</v>
      </c>
      <c r="C7" s="10">
        <v>149858.21</v>
      </c>
      <c r="D7" s="5">
        <f>'PP&amp;E Schedule'!D13</f>
        <v>160792.622221</v>
      </c>
      <c r="E7" s="5">
        <f>'PP&amp;E Schedule'!E13</f>
        <v>170496.50045372784</v>
      </c>
      <c r="F7" s="5">
        <f>'PP&amp;E Schedule'!F13</f>
        <v>179844.27276934299</v>
      </c>
      <c r="G7" s="5">
        <f>'PP&amp;E Schedule'!G13</f>
        <v>188181.77876320761</v>
      </c>
      <c r="H7" s="5">
        <f>'PP&amp;E Schedule'!H13</f>
        <v>194644.73372850326</v>
      </c>
    </row>
    <row r="8" spans="1:8">
      <c r="A8" t="s">
        <v>313</v>
      </c>
      <c r="B8" s="10">
        <v>40601.879999999997</v>
      </c>
      <c r="C8" s="10">
        <v>27501.29</v>
      </c>
      <c r="D8" s="5">
        <f>'PP&amp;E Schedule'!D14</f>
        <v>24584.600243749999</v>
      </c>
      <c r="E8" s="5">
        <f>'PP&amp;E Schedule'!E14</f>
        <v>24087.002120618745</v>
      </c>
      <c r="F8" s="5">
        <f>'PP&amp;E Schedule'!F14</f>
        <v>24202.503849679175</v>
      </c>
      <c r="G8" s="5">
        <f>'PP&amp;E Schedule'!G14</f>
        <v>21632.800532760666</v>
      </c>
      <c r="H8" s="5">
        <f>'PP&amp;E Schedule'!H14</f>
        <v>18347.133063866106</v>
      </c>
    </row>
    <row r="9" spans="1:8">
      <c r="A9" t="s">
        <v>314</v>
      </c>
      <c r="B9" s="10">
        <v>8087.95</v>
      </c>
      <c r="C9" s="10">
        <v>10072.66</v>
      </c>
      <c r="D9" s="5">
        <f>C9</f>
        <v>10072.66</v>
      </c>
      <c r="E9" s="5">
        <f>C9</f>
        <v>10072.66</v>
      </c>
      <c r="F9" s="5">
        <f>C9</f>
        <v>10072.66</v>
      </c>
      <c r="G9" s="5">
        <f>C9</f>
        <v>10072.66</v>
      </c>
      <c r="H9" s="5">
        <f>C9</f>
        <v>10072.66</v>
      </c>
    </row>
    <row r="10" spans="1:8">
      <c r="A10" t="s">
        <v>315</v>
      </c>
      <c r="B10" s="10">
        <v>18651.400000000001</v>
      </c>
      <c r="C10" s="10">
        <v>21932.68</v>
      </c>
      <c r="D10" s="5">
        <f>C10</f>
        <v>21932.68</v>
      </c>
      <c r="E10" s="5">
        <f>C10</f>
        <v>21932.68</v>
      </c>
      <c r="F10" s="5">
        <f>C10</f>
        <v>21932.68</v>
      </c>
      <c r="G10" s="5">
        <f>C10</f>
        <v>21932.68</v>
      </c>
      <c r="H10" s="5">
        <f>C10</f>
        <v>21932.68</v>
      </c>
    </row>
    <row r="11" spans="1:8">
      <c r="A11" t="s">
        <v>316</v>
      </c>
      <c r="B11" s="10">
        <v>18446.86</v>
      </c>
      <c r="C11" s="10">
        <v>19369.099999999999</v>
      </c>
      <c r="D11" s="5">
        <f>C11</f>
        <v>19369.099999999999</v>
      </c>
      <c r="E11" s="5">
        <f>C11</f>
        <v>19369.099999999999</v>
      </c>
      <c r="F11" s="5">
        <f>C11</f>
        <v>19369.099999999999</v>
      </c>
      <c r="G11" s="5">
        <f>C11</f>
        <v>19369.099999999999</v>
      </c>
      <c r="H11" s="5">
        <f>C11</f>
        <v>19369.099999999999</v>
      </c>
    </row>
    <row r="12" spans="1:8">
      <c r="A12" t="s">
        <v>317</v>
      </c>
      <c r="B12" s="10">
        <v>211003.26</v>
      </c>
      <c r="C12" s="10">
        <v>228733.94</v>
      </c>
      <c r="D12" s="5">
        <f>SUM(D7:D11)</f>
        <v>236751.66246475</v>
      </c>
      <c r="E12" s="5">
        <f>SUM(E7:E11)</f>
        <v>245957.94257434658</v>
      </c>
      <c r="F12" s="5">
        <f>SUM(F7:F11)</f>
        <v>255421.21661902216</v>
      </c>
      <c r="G12" s="5">
        <f>SUM(G7:G11)</f>
        <v>261189.01929596829</v>
      </c>
      <c r="H12" s="5">
        <f>SUM(H7:H11)</f>
        <v>264366.30679236935</v>
      </c>
    </row>
    <row r="13" spans="1:8">
      <c r="A13" t="s">
        <v>318</v>
      </c>
      <c r="B13" s="10">
        <v>44589.94</v>
      </c>
      <c r="C13" s="10">
        <v>47249.22</v>
      </c>
      <c r="D13" s="5">
        <f>'Working Capital'!D8</f>
        <v>49031.648054999998</v>
      </c>
      <c r="E13" s="5">
        <f>'Working Capital'!E8</f>
        <v>51595.165925100009</v>
      </c>
      <c r="F13" s="5">
        <f>'Working Capital'!F8</f>
        <v>53766.290507228223</v>
      </c>
      <c r="G13" s="5">
        <f>'Working Capital'!G8</f>
        <v>56022.787325483907</v>
      </c>
      <c r="H13" s="5">
        <f>'Working Capital'!H8</f>
        <v>58433.454613832902</v>
      </c>
    </row>
    <row r="14" spans="1:8">
      <c r="A14" t="s">
        <v>319</v>
      </c>
      <c r="B14" s="10">
        <v>5260.06</v>
      </c>
      <c r="C14" s="10">
        <v>4916.8900000000003</v>
      </c>
      <c r="D14" s="5">
        <f>'Working Capital'!D10</f>
        <v>5397.732</v>
      </c>
      <c r="E14" s="5">
        <f>'Working Capital'!E10</f>
        <v>5780.970972000001</v>
      </c>
      <c r="F14" s="5">
        <f>'Working Capital'!F10</f>
        <v>6132.4540070976018</v>
      </c>
      <c r="G14" s="5">
        <f>'Working Capital'!G10</f>
        <v>6505.7671447796674</v>
      </c>
      <c r="H14" s="5">
        <f>'Working Capital'!H10</f>
        <v>6868.4636631011354</v>
      </c>
    </row>
    <row r="15" spans="1:8">
      <c r="A15" t="s">
        <v>320</v>
      </c>
      <c r="B15" s="10">
        <v>9604.9599999999991</v>
      </c>
      <c r="C15" s="10">
        <v>8884.9500000000007</v>
      </c>
      <c r="D15" s="5">
        <f>'Debt Schedule'!D11</f>
        <v>13000</v>
      </c>
      <c r="E15" s="5">
        <f>'Debt Schedule'!E11</f>
        <v>14962.569469251655</v>
      </c>
      <c r="F15" s="5">
        <f>'Debt Schedule'!F11</f>
        <v>16771.129063068845</v>
      </c>
      <c r="G15" s="5">
        <f>'Debt Schedule'!G11</f>
        <v>20948.178455406578</v>
      </c>
      <c r="H15" s="5">
        <f>'Debt Schedule'!H11</f>
        <v>25798.460471504666</v>
      </c>
    </row>
    <row r="16" spans="1:8">
      <c r="A16" t="s">
        <v>321</v>
      </c>
      <c r="B16" s="10">
        <v>8936.58</v>
      </c>
      <c r="C16" s="10">
        <v>11214.05</v>
      </c>
      <c r="D16" s="5">
        <f>C16</f>
        <v>11214.05</v>
      </c>
      <c r="E16" s="5">
        <f>C16</f>
        <v>11214.05</v>
      </c>
      <c r="F16" s="5">
        <f>C16</f>
        <v>11214.05</v>
      </c>
      <c r="G16" s="5">
        <f>C16</f>
        <v>11214.05</v>
      </c>
      <c r="H16" s="5">
        <f>C16</f>
        <v>11214.05</v>
      </c>
    </row>
    <row r="17" spans="1:8">
      <c r="A17" t="s">
        <v>322</v>
      </c>
      <c r="B17" s="10">
        <v>68391.539999999994</v>
      </c>
      <c r="C17" s="10">
        <v>72265.11</v>
      </c>
      <c r="D17" s="5">
        <f>SUM(D13:D16)</f>
        <v>78643.430055000004</v>
      </c>
      <c r="E17" s="5">
        <f>SUM(E13:E16)</f>
        <v>83552.756366351663</v>
      </c>
      <c r="F17" s="5">
        <f>SUM(F13:F16)</f>
        <v>87883.923577394671</v>
      </c>
      <c r="G17" s="5">
        <f>SUM(G13:G16)</f>
        <v>94690.782925670152</v>
      </c>
      <c r="H17" s="5">
        <f>SUM(H13:H16)</f>
        <v>102314.4287484387</v>
      </c>
    </row>
    <row r="18" spans="1:8">
      <c r="A18" t="s">
        <v>323</v>
      </c>
      <c r="B18" s="10">
        <v>0</v>
      </c>
      <c r="C18" s="10">
        <v>255.06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1:8">
      <c r="A19" t="s">
        <v>324</v>
      </c>
      <c r="B19" s="10">
        <v>279394.8</v>
      </c>
      <c r="C19" s="10">
        <v>301254.11</v>
      </c>
      <c r="D19" s="5">
        <f>SUM(D12,D17,D18)</f>
        <v>315395.09251975</v>
      </c>
      <c r="E19" s="5">
        <f>SUM(E12,E17,E18)</f>
        <v>329510.69894069823</v>
      </c>
      <c r="F19" s="5">
        <f>SUM(F12,F17,F18)</f>
        <v>343305.14019641682</v>
      </c>
      <c r="G19" s="5">
        <f>SUM(G12,G17,G18)</f>
        <v>355879.80222163844</v>
      </c>
      <c r="H19" s="5">
        <f>SUM(H12,H17,H18)</f>
        <v>366680.73554080806</v>
      </c>
    </row>
    <row r="20" spans="1:8">
      <c r="B20" s="10"/>
      <c r="C20" s="10"/>
      <c r="D20" s="5"/>
      <c r="E20" s="5"/>
      <c r="F20" s="5"/>
      <c r="G20" s="5"/>
      <c r="H20" s="5"/>
    </row>
    <row r="21" spans="1:8">
      <c r="B21" s="10"/>
      <c r="C21" s="10"/>
      <c r="D21" s="5"/>
      <c r="E21" s="5"/>
      <c r="F21" s="5"/>
      <c r="G21" s="5"/>
      <c r="H21" s="5"/>
    </row>
    <row r="22" spans="1:8">
      <c r="A22" s="63" t="s">
        <v>325</v>
      </c>
      <c r="B22" s="64"/>
      <c r="C22" s="64"/>
      <c r="D22" s="65"/>
      <c r="E22" s="65"/>
      <c r="F22" s="65"/>
      <c r="G22" s="65"/>
      <c r="H22" s="65"/>
    </row>
    <row r="23" spans="1:8">
      <c r="A23" t="s">
        <v>326</v>
      </c>
      <c r="B23" s="10">
        <v>1247.44</v>
      </c>
      <c r="C23" s="10">
        <v>1247.44</v>
      </c>
      <c r="D23" s="5">
        <f>$C$23</f>
        <v>1247.44</v>
      </c>
      <c r="E23" s="5">
        <f>$C$23</f>
        <v>1247.44</v>
      </c>
      <c r="F23" s="5">
        <f>$C$23</f>
        <v>1247.44</v>
      </c>
      <c r="G23" s="5">
        <f>$C$23</f>
        <v>1247.44</v>
      </c>
      <c r="H23" s="5">
        <f>$C$23</f>
        <v>1247.44</v>
      </c>
    </row>
    <row r="24" spans="1:8">
      <c r="A24" t="s">
        <v>327</v>
      </c>
      <c r="B24" s="10">
        <v>90105.26</v>
      </c>
      <c r="C24" s="10">
        <v>102533.01</v>
      </c>
      <c r="D24" s="5">
        <f>C24+'Income Statement'!D17+'Cash Flow'!D21</f>
        <v>113343.42105493124</v>
      </c>
      <c r="E24" s="5">
        <f>D24+'Income Statement'!E17+'Cash Flow'!E21</f>
        <v>125853.6701130874</v>
      </c>
      <c r="F24" s="5">
        <f>E24+'Income Statement'!F17+'Cash Flow'!F21</f>
        <v>140127.48133411037</v>
      </c>
      <c r="G24" s="5">
        <f>F24+'Income Statement'!G17+'Cash Flow'!G21</f>
        <v>156403.37463058732</v>
      </c>
      <c r="H24" s="5">
        <f>G24+'Income Statement'!H17+'Cash Flow'!H21</f>
        <v>174128.60742354591</v>
      </c>
    </row>
    <row r="25" spans="1:8">
      <c r="A25" t="s">
        <v>328</v>
      </c>
      <c r="B25" s="10">
        <v>91352.7</v>
      </c>
      <c r="C25" s="10">
        <v>103780.45</v>
      </c>
      <c r="D25" s="5">
        <f>SUM(D23:D24)</f>
        <v>114590.86105493124</v>
      </c>
      <c r="E25" s="5">
        <f>SUM(E23:E24)</f>
        <v>127101.1101130874</v>
      </c>
      <c r="F25" s="5">
        <f>SUM(F23:F24)</f>
        <v>141374.92133411038</v>
      </c>
      <c r="G25" s="5">
        <f>SUM(G23:G24)</f>
        <v>157650.81463058732</v>
      </c>
      <c r="H25" s="5">
        <f>SUM(H23:H24)</f>
        <v>175376.04742354591</v>
      </c>
    </row>
    <row r="26" spans="1:8">
      <c r="A26" t="s">
        <v>329</v>
      </c>
      <c r="B26" s="10">
        <v>68551.81</v>
      </c>
      <c r="C26" s="10">
        <v>63753.67</v>
      </c>
      <c r="D26" s="5">
        <f>'Debt Schedule'!D8</f>
        <v>65339.168358614072</v>
      </c>
      <c r="E26" s="5">
        <f>'Debt Schedule'!E8</f>
        <v>64708.342457783176</v>
      </c>
      <c r="F26" s="5">
        <f>'Debt Schedule'!F8</f>
        <v>63185.386490005374</v>
      </c>
      <c r="G26" s="5">
        <f>'Debt Schedule'!G8</f>
        <v>59211.297262302083</v>
      </c>
      <c r="H26" s="5">
        <f>'Debt Schedule'!H8</f>
        <v>52812.067026549747</v>
      </c>
    </row>
    <row r="27" spans="1:8">
      <c r="A27" t="s">
        <v>330</v>
      </c>
      <c r="B27" s="10">
        <v>4832.71</v>
      </c>
      <c r="C27" s="10">
        <v>6232.99</v>
      </c>
      <c r="D27" s="5">
        <f>$C$27</f>
        <v>6232.99</v>
      </c>
      <c r="E27" s="5">
        <f>$C$27</f>
        <v>6232.99</v>
      </c>
      <c r="F27" s="5">
        <f>$C$27</f>
        <v>6232.99</v>
      </c>
      <c r="G27" s="5">
        <f>$C$27</f>
        <v>6232.99</v>
      </c>
      <c r="H27" s="5">
        <f>$C$27</f>
        <v>6232.99</v>
      </c>
    </row>
    <row r="28" spans="1:8">
      <c r="A28" t="s">
        <v>331</v>
      </c>
      <c r="B28" s="10">
        <v>28563.95</v>
      </c>
      <c r="C28" s="10">
        <v>30569.360000000001</v>
      </c>
      <c r="D28" s="5">
        <f>$C$28</f>
        <v>30569.360000000001</v>
      </c>
      <c r="E28" s="5">
        <f>$C$28</f>
        <v>30569.360000000001</v>
      </c>
      <c r="F28" s="5">
        <f>$C$28</f>
        <v>30569.360000000001</v>
      </c>
      <c r="G28" s="5">
        <f>$C$28</f>
        <v>30569.360000000001</v>
      </c>
      <c r="H28" s="5">
        <f>$C$28</f>
        <v>30569.360000000001</v>
      </c>
    </row>
    <row r="29" spans="1:8">
      <c r="A29" t="s">
        <v>332</v>
      </c>
      <c r="B29" s="10">
        <v>101948.47</v>
      </c>
      <c r="C29" s="10">
        <v>100556.02</v>
      </c>
      <c r="D29" s="5">
        <f>SUM(D26:D28)</f>
        <v>102141.51835861408</v>
      </c>
      <c r="E29" s="5">
        <f>SUM(E26:E28)</f>
        <v>101510.69245778318</v>
      </c>
      <c r="F29" s="5">
        <f>SUM(F26:F28)</f>
        <v>99987.73649000538</v>
      </c>
      <c r="G29" s="5">
        <f>SUM(G26:G28)</f>
        <v>96013.647262302082</v>
      </c>
      <c r="H29" s="5">
        <f>SUM(H26:H28)</f>
        <v>89614.417026549752</v>
      </c>
    </row>
    <row r="30" spans="1:8">
      <c r="A30" t="s">
        <v>333</v>
      </c>
      <c r="B30" s="10">
        <v>20412</v>
      </c>
      <c r="C30" s="10">
        <v>21302.720000000001</v>
      </c>
      <c r="D30" s="5">
        <f>'Debt Schedule'!D9</f>
        <v>21779.722786204689</v>
      </c>
      <c r="E30" s="5">
        <f>'Debt Schedule'!E9</f>
        <v>21569.447485927725</v>
      </c>
      <c r="F30" s="5">
        <f>'Debt Schedule'!F9</f>
        <v>21061.795496668459</v>
      </c>
      <c r="G30" s="5">
        <f>'Debt Schedule'!G9</f>
        <v>19737.099087434028</v>
      </c>
      <c r="H30" s="5">
        <f>'Debt Schedule'!H9</f>
        <v>17604.022342183249</v>
      </c>
    </row>
    <row r="31" spans="1:8">
      <c r="A31" t="s">
        <v>334</v>
      </c>
      <c r="B31" s="10">
        <v>1004.53</v>
      </c>
      <c r="C31" s="10">
        <v>1192.3</v>
      </c>
      <c r="D31" s="5">
        <f>$C$31</f>
        <v>1192.3</v>
      </c>
      <c r="E31" s="5">
        <f>$C$31</f>
        <v>1192.3</v>
      </c>
      <c r="F31" s="5">
        <f>$C$31</f>
        <v>1192.3</v>
      </c>
      <c r="G31" s="5">
        <f>$C$31</f>
        <v>1192.3</v>
      </c>
      <c r="H31" s="5">
        <f>$C$31</f>
        <v>1192.3</v>
      </c>
    </row>
    <row r="32" spans="1:8">
      <c r="A32" t="s">
        <v>335</v>
      </c>
      <c r="B32" s="10">
        <v>29314.38</v>
      </c>
      <c r="C32" s="10">
        <v>34610.14</v>
      </c>
      <c r="D32" s="5">
        <f>'Working Capital'!D12</f>
        <v>36488.668319999997</v>
      </c>
      <c r="E32" s="5">
        <f>'Working Capital'!E12</f>
        <v>39455.126883900004</v>
      </c>
      <c r="F32" s="5">
        <f>'Working Capital'!F12</f>
        <v>41604.867654402791</v>
      </c>
      <c r="G32" s="5">
        <f>'Working Capital'!G12</f>
        <v>43873.26718260788</v>
      </c>
      <c r="H32" s="5">
        <f>'Working Capital'!H12</f>
        <v>46319.201828038276</v>
      </c>
    </row>
    <row r="33" spans="1:8">
      <c r="A33" t="s">
        <v>336</v>
      </c>
      <c r="B33" s="10">
        <v>35362.639999999999</v>
      </c>
      <c r="C33" s="10">
        <v>39812.480000000003</v>
      </c>
      <c r="D33" s="5">
        <f>D19-D25-D29-D30-D31-D32</f>
        <v>39202.021999999997</v>
      </c>
      <c r="E33" s="5">
        <f>E19-E25-E29-E30-E31-E32</f>
        <v>38682.021999999917</v>
      </c>
      <c r="F33" s="5">
        <f>F19-F25-F29-F30-F31-F32</f>
        <v>38083.519221229806</v>
      </c>
      <c r="G33" s="5">
        <f>G19-G25-G29-G30-G31-G32</f>
        <v>37412.674058707118</v>
      </c>
      <c r="H33" s="5">
        <f>H19-H25-H29-H30-H31-H32</f>
        <v>36574.74692049087</v>
      </c>
    </row>
    <row r="34" spans="1:8">
      <c r="A34" t="s">
        <v>337</v>
      </c>
      <c r="B34" s="10">
        <v>86093.55</v>
      </c>
      <c r="C34" s="10">
        <v>96917.64</v>
      </c>
      <c r="D34" s="5">
        <f>SUM(D30:D33)</f>
        <v>98662.713106204683</v>
      </c>
      <c r="E34" s="5">
        <f>SUM(E30:E33)</f>
        <v>100898.89636982765</v>
      </c>
      <c r="F34" s="5">
        <f>SUM(F30:F33)</f>
        <v>101942.48237230105</v>
      </c>
      <c r="G34" s="5">
        <f>SUM(G30:G33)</f>
        <v>102215.34032874904</v>
      </c>
      <c r="H34" s="5">
        <f>SUM(H30:H33)</f>
        <v>101690.2710907124</v>
      </c>
    </row>
    <row r="35" spans="1:8">
      <c r="A35" t="s">
        <v>338</v>
      </c>
      <c r="B35" s="10">
        <v>188042.02</v>
      </c>
      <c r="C35" s="10">
        <v>197473.66</v>
      </c>
      <c r="D35" s="5">
        <f>D29+D34</f>
        <v>200804.23146481876</v>
      </c>
      <c r="E35" s="5">
        <f>E29+E34</f>
        <v>202409.58882761083</v>
      </c>
      <c r="F35" s="5">
        <f>F29+F34</f>
        <v>201930.21886230644</v>
      </c>
      <c r="G35" s="5">
        <f>G29+G34</f>
        <v>198228.98759105112</v>
      </c>
      <c r="H35" s="5">
        <f>H29+H34</f>
        <v>191304.68811726215</v>
      </c>
    </row>
    <row r="36" spans="1:8">
      <c r="A36" t="s">
        <v>339</v>
      </c>
      <c r="B36" s="10">
        <v>279394.71999999997</v>
      </c>
      <c r="C36" s="10">
        <v>301254.11</v>
      </c>
      <c r="D36" s="5">
        <f>D25+D35</f>
        <v>315395.09251975</v>
      </c>
      <c r="E36" s="5">
        <f>E25+E35</f>
        <v>329510.69894069823</v>
      </c>
      <c r="F36" s="5">
        <f>F25+F35</f>
        <v>343305.14019641682</v>
      </c>
      <c r="G36" s="5">
        <f>G25+G35</f>
        <v>355879.80222163844</v>
      </c>
      <c r="H36" s="5">
        <f>H25+H35</f>
        <v>366680.73554080806</v>
      </c>
    </row>
    <row r="37" spans="1:8">
      <c r="A37" t="s">
        <v>340</v>
      </c>
      <c r="B37" s="5">
        <f t="shared" ref="B37:H37" si="0">B19-B36</f>
        <v>8.0000000016298145E-2</v>
      </c>
      <c r="C37" s="5">
        <f t="shared" si="0"/>
        <v>0</v>
      </c>
      <c r="D37" s="5">
        <f t="shared" si="0"/>
        <v>0</v>
      </c>
      <c r="E37" s="5">
        <f t="shared" si="0"/>
        <v>0</v>
      </c>
      <c r="F37" s="5">
        <f t="shared" si="0"/>
        <v>0</v>
      </c>
      <c r="G37" s="5">
        <f t="shared" si="0"/>
        <v>0</v>
      </c>
      <c r="H37" s="5">
        <f t="shared" si="0"/>
        <v>0</v>
      </c>
    </row>
  </sheetData>
  <mergeCells count="4">
    <mergeCell ref="A1:H1"/>
    <mergeCell ref="A2:H2"/>
    <mergeCell ref="A6:H6"/>
    <mergeCell ref="A22:H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341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342</v>
      </c>
      <c r="B2" s="59"/>
      <c r="C2" s="59"/>
      <c r="D2" s="59"/>
      <c r="E2" s="59"/>
      <c r="F2" s="59"/>
      <c r="G2" s="59"/>
      <c r="H2" s="59"/>
    </row>
    <row r="4" spans="1:8">
      <c r="A4" s="18" t="s">
        <v>35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117</v>
      </c>
      <c r="B6" s="5">
        <v>218542.51</v>
      </c>
      <c r="C6" s="5">
        <v>232139.94</v>
      </c>
      <c r="D6" s="5">
        <f>'Income Statement'!D6</f>
        <v>246271.52249999999</v>
      </c>
      <c r="E6" s="5">
        <f>'Income Statement'!E6</f>
        <v>263756.80059750006</v>
      </c>
      <c r="F6" s="5">
        <f>'Income Statement'!F6</f>
        <v>279793.21407382807</v>
      </c>
      <c r="G6" s="5">
        <f>'Income Statement'!G6</f>
        <v>296825.62598057231</v>
      </c>
      <c r="H6" s="5">
        <f>'Income Statement'!H6</f>
        <v>313373.65462898929</v>
      </c>
    </row>
    <row r="7" spans="1:8">
      <c r="A7" t="s">
        <v>343</v>
      </c>
      <c r="B7" s="5">
        <v>192740.71</v>
      </c>
      <c r="C7" s="5">
        <v>197292.21</v>
      </c>
      <c r="D7" s="5">
        <f>D6-'Income Statement'!D7</f>
        <v>208099.43651249999</v>
      </c>
      <c r="E7" s="5">
        <f>E6-'Income Statement'!E7</f>
        <v>221555.71250190004</v>
      </c>
      <c r="F7" s="5">
        <f>F6-'Income Statement'!F7</f>
        <v>233627.33375164645</v>
      </c>
      <c r="G7" s="5">
        <f>G6-'Income Statement'!G7</f>
        <v>246365.26956387502</v>
      </c>
      <c r="H7" s="5">
        <f>H6-'Income Statement'!H7</f>
        <v>260100.1333420611</v>
      </c>
    </row>
    <row r="8" spans="1:8">
      <c r="A8" t="s">
        <v>344</v>
      </c>
      <c r="B8" s="5">
        <v>44589.94</v>
      </c>
      <c r="C8" s="5">
        <v>47249.22</v>
      </c>
      <c r="D8" s="5">
        <f>D7*'Operating Drivers'!C26/365</f>
        <v>49031.648054999998</v>
      </c>
      <c r="E8" s="5">
        <f>E7*'Operating Drivers'!D26/365</f>
        <v>51595.165925100009</v>
      </c>
      <c r="F8" s="5">
        <f>F7*'Operating Drivers'!E26/365</f>
        <v>53766.290507228223</v>
      </c>
      <c r="G8" s="5">
        <f>G7*'Operating Drivers'!F26/365</f>
        <v>56022.787325483907</v>
      </c>
      <c r="H8" s="5">
        <f>H7*'Operating Drivers'!G26/365</f>
        <v>58433.454613832902</v>
      </c>
    </row>
    <row r="9" spans="1:8">
      <c r="A9" t="s">
        <v>345</v>
      </c>
      <c r="B9" s="7">
        <f>B8/B7*365</f>
        <v>84.441569713009784</v>
      </c>
      <c r="C9" s="7">
        <f>C8/C7*365</f>
        <v>87.413310946235541</v>
      </c>
      <c r="D9" s="7">
        <f>'Operating Drivers'!C26</f>
        <v>86</v>
      </c>
      <c r="E9" s="7">
        <f>'Operating Drivers'!D26</f>
        <v>85</v>
      </c>
      <c r="F9" s="7">
        <f>'Operating Drivers'!E26</f>
        <v>84</v>
      </c>
      <c r="G9" s="7">
        <f>'Operating Drivers'!F26</f>
        <v>83</v>
      </c>
      <c r="H9" s="7">
        <f>'Operating Drivers'!G26</f>
        <v>82</v>
      </c>
    </row>
    <row r="10" spans="1:8">
      <c r="A10" t="s">
        <v>319</v>
      </c>
      <c r="B10" s="5">
        <v>5260.06</v>
      </c>
      <c r="C10" s="5">
        <v>4916.8900000000003</v>
      </c>
      <c r="D10" s="5">
        <f>D6*'Operating Drivers'!C25/365</f>
        <v>5397.732</v>
      </c>
      <c r="E10" s="5">
        <f>E6*'Operating Drivers'!D25/365</f>
        <v>5780.970972000001</v>
      </c>
      <c r="F10" s="5">
        <f>F6*'Operating Drivers'!E25/365</f>
        <v>6132.4540070976018</v>
      </c>
      <c r="G10" s="5">
        <f>G6*'Operating Drivers'!F25/365</f>
        <v>6505.7671447796674</v>
      </c>
      <c r="H10" s="5">
        <f>H6*'Operating Drivers'!G25/365</f>
        <v>6868.4636631011354</v>
      </c>
    </row>
    <row r="11" spans="1:8">
      <c r="A11" t="s">
        <v>346</v>
      </c>
      <c r="B11" s="7">
        <f>B10/B6*365</f>
        <v>8.7851187395989925</v>
      </c>
      <c r="C11" s="7">
        <f>C10/C6*365</f>
        <v>7.7309611176775528</v>
      </c>
      <c r="D11" s="7">
        <f>'Operating Drivers'!C25</f>
        <v>8</v>
      </c>
      <c r="E11" s="7">
        <f>'Operating Drivers'!D25</f>
        <v>8</v>
      </c>
      <c r="F11" s="7">
        <f>'Operating Drivers'!E25</f>
        <v>8</v>
      </c>
      <c r="G11" s="7">
        <f>'Operating Drivers'!F25</f>
        <v>8</v>
      </c>
      <c r="H11" s="7">
        <f>'Operating Drivers'!G25</f>
        <v>8</v>
      </c>
    </row>
    <row r="12" spans="1:8">
      <c r="A12" t="s">
        <v>335</v>
      </c>
      <c r="B12" s="5">
        <v>29314.38</v>
      </c>
      <c r="C12" s="5">
        <v>34610.14</v>
      </c>
      <c r="D12" s="5">
        <f>D7*'Operating Drivers'!C27/365</f>
        <v>36488.668319999997</v>
      </c>
      <c r="E12" s="5">
        <f>E7*'Operating Drivers'!D27/365</f>
        <v>39455.126883900004</v>
      </c>
      <c r="F12" s="5">
        <f>F7*'Operating Drivers'!E27/365</f>
        <v>41604.867654402791</v>
      </c>
      <c r="G12" s="5">
        <f>G7*'Operating Drivers'!F27/365</f>
        <v>43873.26718260788</v>
      </c>
      <c r="H12" s="5">
        <f>H7*'Operating Drivers'!G27/365</f>
        <v>46319.201828038276</v>
      </c>
    </row>
    <row r="13" spans="1:8">
      <c r="A13" t="s">
        <v>347</v>
      </c>
      <c r="B13" s="7">
        <f>B12/B7*365</f>
        <v>55.513693500454579</v>
      </c>
      <c r="C13" s="7">
        <f>C12/C7*365</f>
        <v>64.030410019736721</v>
      </c>
      <c r="D13" s="7">
        <f>'Operating Drivers'!C27</f>
        <v>64</v>
      </c>
      <c r="E13" s="7">
        <f>'Operating Drivers'!D27</f>
        <v>65</v>
      </c>
      <c r="F13" s="7">
        <f>'Operating Drivers'!E27</f>
        <v>65</v>
      </c>
      <c r="G13" s="7">
        <f>'Operating Drivers'!F27</f>
        <v>65</v>
      </c>
      <c r="H13" s="7">
        <f>'Operating Drivers'!G27</f>
        <v>65</v>
      </c>
    </row>
    <row r="14" spans="1:8">
      <c r="A14" t="s">
        <v>348</v>
      </c>
      <c r="B14" s="5">
        <f t="shared" ref="B14:H14" si="0">B8+B10-B12</f>
        <v>20535.62</v>
      </c>
      <c r="C14" s="5">
        <f t="shared" si="0"/>
        <v>17555.97</v>
      </c>
      <c r="D14" s="5">
        <f t="shared" si="0"/>
        <v>17940.711735000004</v>
      </c>
      <c r="E14" s="5">
        <f t="shared" si="0"/>
        <v>17921.010013200008</v>
      </c>
      <c r="F14" s="5">
        <f t="shared" si="0"/>
        <v>18293.876859923032</v>
      </c>
      <c r="G14" s="5">
        <f t="shared" si="0"/>
        <v>18655.287287655694</v>
      </c>
      <c r="H14" s="5">
        <f t="shared" si="0"/>
        <v>18982.716448895764</v>
      </c>
    </row>
    <row r="15" spans="1:8">
      <c r="A15" t="s">
        <v>126</v>
      </c>
      <c r="B15" s="5"/>
      <c r="C15" s="5">
        <f t="shared" ref="C15:H15" si="1">C14-B14</f>
        <v>-2979.6499999999978</v>
      </c>
      <c r="D15" s="5">
        <f t="shared" si="1"/>
        <v>384.74173500000325</v>
      </c>
      <c r="E15" s="5">
        <f t="shared" si="1"/>
        <v>-19.701721799996449</v>
      </c>
      <c r="F15" s="5">
        <f t="shared" si="1"/>
        <v>372.86684672302363</v>
      </c>
      <c r="G15" s="5">
        <f t="shared" si="1"/>
        <v>361.41042773266236</v>
      </c>
      <c r="H15" s="5">
        <f t="shared" si="1"/>
        <v>327.42916124007024</v>
      </c>
    </row>
    <row r="16" spans="1:8">
      <c r="A16" t="s">
        <v>349</v>
      </c>
      <c r="B16" s="5"/>
      <c r="C16" s="5">
        <f t="shared" ref="C16:H16" si="2">-C15</f>
        <v>2979.6499999999978</v>
      </c>
      <c r="D16" s="5">
        <f t="shared" si="2"/>
        <v>-384.74173500000325</v>
      </c>
      <c r="E16" s="5">
        <f t="shared" si="2"/>
        <v>19.701721799996449</v>
      </c>
      <c r="F16" s="5">
        <f t="shared" si="2"/>
        <v>-372.86684672302363</v>
      </c>
      <c r="G16" s="5">
        <f t="shared" si="2"/>
        <v>-361.41042773266236</v>
      </c>
      <c r="H16" s="5">
        <f t="shared" si="2"/>
        <v>-327.42916124007024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350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351</v>
      </c>
      <c r="B2" s="59"/>
      <c r="C2" s="59"/>
      <c r="D2" s="59"/>
      <c r="E2" s="59"/>
      <c r="F2" s="59"/>
      <c r="G2" s="59"/>
      <c r="H2" s="59"/>
    </row>
    <row r="4" spans="1:8">
      <c r="A4" s="18" t="s">
        <v>35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352</v>
      </c>
      <c r="B6" s="5"/>
      <c r="C6" s="5">
        <v>125215.17</v>
      </c>
      <c r="D6" s="5">
        <f t="shared" ref="D6:H7" si="0">C13</f>
        <v>149858.21</v>
      </c>
      <c r="E6" s="5">
        <f t="shared" si="0"/>
        <v>160792.622221</v>
      </c>
      <c r="F6" s="5">
        <f t="shared" si="0"/>
        <v>170496.50045372784</v>
      </c>
      <c r="G6" s="5">
        <f t="shared" si="0"/>
        <v>179844.27276934299</v>
      </c>
      <c r="H6" s="5">
        <f t="shared" si="0"/>
        <v>188181.77876320761</v>
      </c>
    </row>
    <row r="7" spans="1:8">
      <c r="A7" t="s">
        <v>353</v>
      </c>
      <c r="B7" s="5"/>
      <c r="C7" s="5">
        <v>40601.879999999997</v>
      </c>
      <c r="D7" s="5">
        <f t="shared" si="0"/>
        <v>27501.29</v>
      </c>
      <c r="E7" s="5">
        <f t="shared" si="0"/>
        <v>24584.600243749999</v>
      </c>
      <c r="F7" s="5">
        <f t="shared" si="0"/>
        <v>24087.002120618745</v>
      </c>
      <c r="G7" s="5">
        <f t="shared" si="0"/>
        <v>24202.503849679175</v>
      </c>
      <c r="H7" s="5">
        <f t="shared" si="0"/>
        <v>21632.800532760666</v>
      </c>
    </row>
    <row r="8" spans="1:8">
      <c r="A8" t="s">
        <v>354</v>
      </c>
      <c r="B8" s="5">
        <v>15670.52</v>
      </c>
      <c r="C8" s="5">
        <v>14559.05</v>
      </c>
      <c r="D8" s="5">
        <f>'Capex Build'!C7</f>
        <v>20000</v>
      </c>
      <c r="E8" s="5">
        <f>'Capex Build'!D7</f>
        <v>22000</v>
      </c>
      <c r="F8" s="5">
        <f>'Capex Build'!E7</f>
        <v>23000</v>
      </c>
      <c r="G8" s="5">
        <f>'Capex Build'!F7</f>
        <v>20000</v>
      </c>
      <c r="H8" s="5">
        <f>'Capex Build'!G7</f>
        <v>18000</v>
      </c>
    </row>
    <row r="9" spans="1:8">
      <c r="A9" t="s">
        <v>118</v>
      </c>
      <c r="B9" s="5">
        <v>10421.33</v>
      </c>
      <c r="C9" s="5">
        <v>11954.51</v>
      </c>
      <c r="D9" s="5">
        <f>D6*7.5%+D10*3.75%+D12*3%</f>
        <v>11982.277535249998</v>
      </c>
      <c r="E9" s="5">
        <f>E6*7.5%+E10*3.75%+E12*3%</f>
        <v>12793.719890403374</v>
      </c>
      <c r="F9" s="5">
        <f>F6*7.5%+F10*3.75%+F12*3%</f>
        <v>13536.725955324386</v>
      </c>
      <c r="G9" s="5">
        <f>G6*7.5%+G10*3.75%+G12*3%</f>
        <v>14232.197323053908</v>
      </c>
      <c r="H9" s="5">
        <f>H6*7.5%+H10*3.75%+H12*3%</f>
        <v>14822.712503598928</v>
      </c>
    </row>
    <row r="10" spans="1:8">
      <c r="A10" t="s">
        <v>355</v>
      </c>
      <c r="B10" s="5"/>
      <c r="C10" s="5"/>
      <c r="D10" s="5">
        <f>'Capex Build'!C10</f>
        <v>7388.1456749999998</v>
      </c>
      <c r="E10" s="5">
        <f>'Capex Build'!D10</f>
        <v>7912.7040179250016</v>
      </c>
      <c r="F10" s="5">
        <f>'Capex Build'!E10</f>
        <v>8393.7964222148421</v>
      </c>
      <c r="G10" s="5">
        <f>'Capex Build'!F10</f>
        <v>8904.7687794171688</v>
      </c>
      <c r="H10" s="5">
        <f>'Capex Build'!G10</f>
        <v>9401.2096388696791</v>
      </c>
    </row>
    <row r="11" spans="1:8">
      <c r="A11" t="s">
        <v>356</v>
      </c>
      <c r="B11" s="5"/>
      <c r="C11" s="5"/>
      <c r="D11" s="5">
        <f>'Capex Build'!C11</f>
        <v>12611.854325</v>
      </c>
      <c r="E11" s="5">
        <f>'Capex Build'!D11</f>
        <v>14087.295982074998</v>
      </c>
      <c r="F11" s="5">
        <f>'Capex Build'!E11</f>
        <v>14606.203577785158</v>
      </c>
      <c r="G11" s="5">
        <f>'Capex Build'!F11</f>
        <v>11095.231220582831</v>
      </c>
      <c r="H11" s="5">
        <f>'Capex Build'!G11</f>
        <v>8598.7903611303209</v>
      </c>
    </row>
    <row r="12" spans="1:8">
      <c r="A12" t="s">
        <v>357</v>
      </c>
      <c r="B12" s="5"/>
      <c r="C12" s="5"/>
      <c r="D12" s="5">
        <f>MIN(D7+D11,45%*D7+25%*D11)</f>
        <v>15528.54408125</v>
      </c>
      <c r="E12" s="5">
        <f>MIN(E7+E11,45%*E7+25%*E11)</f>
        <v>14584.894105206249</v>
      </c>
      <c r="F12" s="5">
        <f>MIN(F7+F11,45%*F7+25%*F11)</f>
        <v>14490.701848724724</v>
      </c>
      <c r="G12" s="5">
        <f>MIN(G7+G11,45%*G7+25%*G11)</f>
        <v>13664.934537501336</v>
      </c>
      <c r="H12" s="5">
        <f>MIN(H7+H11,45%*H7+25%*H11)</f>
        <v>11884.45783002488</v>
      </c>
    </row>
    <row r="13" spans="1:8">
      <c r="A13" t="s">
        <v>358</v>
      </c>
      <c r="B13" s="5">
        <v>125215.17</v>
      </c>
      <c r="C13" s="5">
        <v>149858.21</v>
      </c>
      <c r="D13" s="5">
        <f>D6+D10+D12-D9</f>
        <v>160792.622221</v>
      </c>
      <c r="E13" s="5">
        <f>E6+E10+E12-E9</f>
        <v>170496.50045372784</v>
      </c>
      <c r="F13" s="5">
        <f>F6+F10+F12-F9</f>
        <v>179844.27276934299</v>
      </c>
      <c r="G13" s="5">
        <f>G6+G10+G12-G9</f>
        <v>188181.77876320761</v>
      </c>
      <c r="H13" s="5">
        <f>H6+H10+H12-H9</f>
        <v>194644.73372850326</v>
      </c>
    </row>
    <row r="14" spans="1:8">
      <c r="A14" t="s">
        <v>359</v>
      </c>
      <c r="B14" s="5">
        <v>40601.879999999997</v>
      </c>
      <c r="C14" s="5">
        <v>27501.29</v>
      </c>
      <c r="D14" s="5">
        <f>D7+D11-D12</f>
        <v>24584.600243749999</v>
      </c>
      <c r="E14" s="5">
        <f>E7+E11-E12</f>
        <v>24087.002120618745</v>
      </c>
      <c r="F14" s="5">
        <f>F7+F11-F12</f>
        <v>24202.503849679175</v>
      </c>
      <c r="G14" s="5">
        <f>G7+G11-G12</f>
        <v>21632.800532760666</v>
      </c>
      <c r="H14" s="5">
        <f>H7+H11-H12</f>
        <v>18347.133063866106</v>
      </c>
    </row>
    <row r="15" spans="1:8">
      <c r="A15" t="s">
        <v>360</v>
      </c>
      <c r="B15" s="6"/>
      <c r="C15" s="6">
        <f t="shared" ref="C15:H15" si="1">C9/C6</f>
        <v>9.5471738767754735E-2</v>
      </c>
      <c r="D15" s="6">
        <f t="shared" si="1"/>
        <v>7.995743132958813E-2</v>
      </c>
      <c r="E15" s="6">
        <f t="shared" si="1"/>
        <v>7.9566585292819958E-2</v>
      </c>
      <c r="F15" s="6">
        <f t="shared" si="1"/>
        <v>7.939591674491997E-2</v>
      </c>
      <c r="G15" s="6">
        <f t="shared" si="1"/>
        <v>7.9136227714669757E-2</v>
      </c>
      <c r="H15" s="6">
        <f t="shared" si="1"/>
        <v>7.8768053958351639E-2</v>
      </c>
    </row>
    <row r="16" spans="1:8">
      <c r="A16" t="s">
        <v>361</v>
      </c>
      <c r="B16" s="5">
        <v>165817.04999999999</v>
      </c>
      <c r="C16" s="5">
        <v>177359.5</v>
      </c>
      <c r="D16" s="5">
        <f>D13+D14</f>
        <v>185377.22246475</v>
      </c>
      <c r="E16" s="5">
        <f>E13+E14</f>
        <v>194583.50257434658</v>
      </c>
      <c r="F16" s="5">
        <f>F13+F14</f>
        <v>204046.77661902216</v>
      </c>
      <c r="G16" s="5">
        <f>G13+G14</f>
        <v>209814.57929596829</v>
      </c>
      <c r="H16" s="5">
        <f>H13+H14</f>
        <v>212991.86679236937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362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363</v>
      </c>
      <c r="B2" s="59"/>
      <c r="C2" s="59"/>
      <c r="D2" s="59"/>
      <c r="E2" s="59"/>
      <c r="F2" s="59"/>
      <c r="G2" s="59"/>
      <c r="H2" s="59"/>
    </row>
    <row r="4" spans="1:8">
      <c r="A4" s="18" t="s">
        <v>35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364</v>
      </c>
      <c r="B6" s="5"/>
      <c r="C6" s="5">
        <v>88963.81</v>
      </c>
      <c r="D6" s="5">
        <f>D19</f>
        <v>85056.39</v>
      </c>
      <c r="E6" s="5">
        <f>E19</f>
        <v>87118.891144818757</v>
      </c>
      <c r="F6" s="5">
        <f>F19</f>
        <v>86277.789943710901</v>
      </c>
      <c r="G6" s="5">
        <f>G19</f>
        <v>84247.181986673837</v>
      </c>
      <c r="H6" s="5">
        <f>H19</f>
        <v>78948.396349736111</v>
      </c>
    </row>
    <row r="7" spans="1:8">
      <c r="A7" t="s">
        <v>365</v>
      </c>
      <c r="B7" s="5">
        <v>5324.95</v>
      </c>
      <c r="C7" s="5">
        <v>-9105.42</v>
      </c>
      <c r="D7" s="5">
        <f>D28-D30</f>
        <v>2062.5011448187579</v>
      </c>
      <c r="E7" s="5">
        <f>E28-E30</f>
        <v>-841.10120110785249</v>
      </c>
      <c r="F7" s="5">
        <f>F28-F30</f>
        <v>-2030.6079570370694</v>
      </c>
      <c r="G7" s="5">
        <f>G28-G30</f>
        <v>-5298.7856369377187</v>
      </c>
      <c r="H7" s="5">
        <f>H28-H30</f>
        <v>-8532.3069810031102</v>
      </c>
    </row>
    <row r="8" spans="1:8">
      <c r="A8" t="s">
        <v>329</v>
      </c>
      <c r="B8" s="5">
        <v>68551.81</v>
      </c>
      <c r="C8" s="5">
        <v>63753.67</v>
      </c>
      <c r="D8" s="5">
        <f>D31*75%</f>
        <v>65339.168358614072</v>
      </c>
      <c r="E8" s="5">
        <f>E31*75%</f>
        <v>64708.342457783176</v>
      </c>
      <c r="F8" s="5">
        <f>F31*75%</f>
        <v>63185.386490005374</v>
      </c>
      <c r="G8" s="5">
        <f>G31*75%</f>
        <v>59211.297262302083</v>
      </c>
      <c r="H8" s="5">
        <f>H31*75%</f>
        <v>52812.067026549747</v>
      </c>
    </row>
    <row r="9" spans="1:8">
      <c r="A9" t="s">
        <v>333</v>
      </c>
      <c r="B9" s="5">
        <v>20412</v>
      </c>
      <c r="C9" s="5">
        <v>21302.720000000001</v>
      </c>
      <c r="D9" s="5">
        <f>D31*25%</f>
        <v>21779.722786204689</v>
      </c>
      <c r="E9" s="5">
        <f>E31*25%</f>
        <v>21569.447485927725</v>
      </c>
      <c r="F9" s="5">
        <f>F31*25%</f>
        <v>21061.795496668459</v>
      </c>
      <c r="G9" s="5">
        <f>G31*25%</f>
        <v>19737.099087434028</v>
      </c>
      <c r="H9" s="5">
        <f>H31*25%</f>
        <v>17604.022342183249</v>
      </c>
    </row>
    <row r="10" spans="1:8">
      <c r="A10" t="s">
        <v>366</v>
      </c>
      <c r="B10" s="5">
        <v>88963.81</v>
      </c>
      <c r="C10" s="5">
        <v>85056.39</v>
      </c>
      <c r="D10" s="5">
        <f t="shared" ref="D10:H12" si="0">D31</f>
        <v>87118.891144818757</v>
      </c>
      <c r="E10" s="5">
        <f t="shared" si="0"/>
        <v>86277.789943710901</v>
      </c>
      <c r="F10" s="5">
        <f t="shared" si="0"/>
        <v>84247.181986673837</v>
      </c>
      <c r="G10" s="5">
        <f t="shared" si="0"/>
        <v>78948.396349736111</v>
      </c>
      <c r="H10" s="5">
        <f t="shared" si="0"/>
        <v>70416.089368732995</v>
      </c>
    </row>
    <row r="11" spans="1:8">
      <c r="A11" t="s">
        <v>367</v>
      </c>
      <c r="B11" s="5">
        <v>9604.9599999999991</v>
      </c>
      <c r="C11" s="5">
        <v>8884.9500000000007</v>
      </c>
      <c r="D11" s="5">
        <f t="shared" si="0"/>
        <v>13000</v>
      </c>
      <c r="E11" s="5">
        <f t="shared" si="0"/>
        <v>14962.569469251655</v>
      </c>
      <c r="F11" s="5">
        <f t="shared" si="0"/>
        <v>16771.129063068845</v>
      </c>
      <c r="G11" s="5">
        <f t="shared" si="0"/>
        <v>20948.178455406578</v>
      </c>
      <c r="H11" s="5">
        <f t="shared" si="0"/>
        <v>25798.460471504666</v>
      </c>
    </row>
    <row r="12" spans="1:8">
      <c r="A12" t="s">
        <v>368</v>
      </c>
      <c r="B12" s="5">
        <v>79358.850000000006</v>
      </c>
      <c r="C12" s="5">
        <v>76171.44</v>
      </c>
      <c r="D12" s="5">
        <f t="shared" si="0"/>
        <v>74118.891144818757</v>
      </c>
      <c r="E12" s="5">
        <f t="shared" si="0"/>
        <v>71315.220474459245</v>
      </c>
      <c r="F12" s="5">
        <f t="shared" si="0"/>
        <v>67476.052923604992</v>
      </c>
      <c r="G12" s="5">
        <f t="shared" si="0"/>
        <v>58000.217894329529</v>
      </c>
      <c r="H12" s="5">
        <f t="shared" si="0"/>
        <v>44617.628897228329</v>
      </c>
    </row>
    <row r="13" spans="1:8">
      <c r="A13" t="s">
        <v>369</v>
      </c>
      <c r="B13" s="5">
        <v>82579</v>
      </c>
      <c r="C13" s="5">
        <v>80144</v>
      </c>
      <c r="D13" s="5">
        <f>D33</f>
        <v>74118.891144818757</v>
      </c>
      <c r="E13" s="5">
        <f>E33</f>
        <v>71315.220474459245</v>
      </c>
      <c r="F13" s="5">
        <f>F33</f>
        <v>67476.052923604992</v>
      </c>
      <c r="G13" s="5">
        <f>G33</f>
        <v>58000.217894329529</v>
      </c>
      <c r="H13" s="5">
        <f>H33</f>
        <v>44617.628897228329</v>
      </c>
    </row>
    <row r="14" spans="1:8">
      <c r="A14" t="s">
        <v>370</v>
      </c>
      <c r="B14" s="5">
        <v>7340.95</v>
      </c>
      <c r="C14" s="5">
        <v>7167.06</v>
      </c>
      <c r="D14" s="5">
        <f t="shared" ref="D14:H15" si="1">D35</f>
        <v>5953.9473000000007</v>
      </c>
      <c r="E14" s="5">
        <f t="shared" si="1"/>
        <v>6098.3223801373133</v>
      </c>
      <c r="F14" s="5">
        <f t="shared" si="1"/>
        <v>6039.4452960597637</v>
      </c>
      <c r="G14" s="5">
        <f t="shared" si="1"/>
        <v>5897.3027390671696</v>
      </c>
      <c r="H14" s="5">
        <f t="shared" si="1"/>
        <v>5526.387744481528</v>
      </c>
    </row>
    <row r="15" spans="1:8">
      <c r="A15" t="s">
        <v>301</v>
      </c>
      <c r="B15" s="5">
        <v>1037.18</v>
      </c>
      <c r="C15" s="5">
        <v>906.49</v>
      </c>
      <c r="D15" s="5">
        <f t="shared" si="1"/>
        <v>355.39800000000002</v>
      </c>
      <c r="E15" s="5">
        <f t="shared" si="1"/>
        <v>520</v>
      </c>
      <c r="F15" s="5">
        <f t="shared" si="1"/>
        <v>598.50277877006624</v>
      </c>
      <c r="G15" s="5">
        <f t="shared" si="1"/>
        <v>670.84516252275387</v>
      </c>
      <c r="H15" s="5">
        <f t="shared" si="1"/>
        <v>837.92713821626319</v>
      </c>
    </row>
    <row r="18" spans="1:8">
      <c r="A18" s="61" t="s">
        <v>371</v>
      </c>
      <c r="B18" s="61"/>
      <c r="C18" s="61"/>
      <c r="D18" s="61"/>
      <c r="E18" s="61"/>
      <c r="F18" s="61"/>
      <c r="G18" s="61"/>
      <c r="H18" s="61"/>
    </row>
    <row r="19" spans="1:8">
      <c r="A19" t="s">
        <v>372</v>
      </c>
      <c r="D19" s="5">
        <f>C10</f>
        <v>85056.39</v>
      </c>
      <c r="E19" s="5">
        <f t="shared" ref="E19:H20" si="2">D31</f>
        <v>87118.891144818757</v>
      </c>
      <c r="F19" s="5">
        <f t="shared" si="2"/>
        <v>86277.789943710901</v>
      </c>
      <c r="G19" s="5">
        <f t="shared" si="2"/>
        <v>84247.181986673837</v>
      </c>
      <c r="H19" s="5">
        <f t="shared" si="2"/>
        <v>78948.396349736111</v>
      </c>
    </row>
    <row r="20" spans="1:8">
      <c r="A20" t="s">
        <v>373</v>
      </c>
      <c r="D20" s="5">
        <f>C11</f>
        <v>8884.9500000000007</v>
      </c>
      <c r="E20" s="5">
        <f t="shared" si="2"/>
        <v>13000</v>
      </c>
      <c r="F20" s="5">
        <f t="shared" si="2"/>
        <v>14962.569469251655</v>
      </c>
      <c r="G20" s="5">
        <f t="shared" si="2"/>
        <v>16771.129063068845</v>
      </c>
      <c r="H20" s="5">
        <f t="shared" si="2"/>
        <v>20948.178455406578</v>
      </c>
    </row>
    <row r="21" spans="1:8">
      <c r="A21" t="s">
        <v>374</v>
      </c>
      <c r="D21" s="5">
        <f>'Cash Flow'!D15</f>
        <v>32639.529464437492</v>
      </c>
      <c r="E21" s="5">
        <f>'Cash Flow'!E15</f>
        <v>36263.52836113517</v>
      </c>
      <c r="F21" s="5">
        <f>'Cash Flow'!F15</f>
        <v>38995.960513066719</v>
      </c>
      <c r="G21" s="5">
        <f>'Cash Flow'!G15</f>
        <v>42348.520609689891</v>
      </c>
      <c r="H21" s="5">
        <f>'Cash Flow'!H15</f>
        <v>44505.505081422118</v>
      </c>
    </row>
    <row r="22" spans="1:8">
      <c r="A22" t="s">
        <v>92</v>
      </c>
      <c r="D22" s="5">
        <f>'Capex Build'!C7</f>
        <v>20000</v>
      </c>
      <c r="E22" s="5">
        <f>'Capex Build'!D7</f>
        <v>22000</v>
      </c>
      <c r="F22" s="5">
        <f>'Capex Build'!E7</f>
        <v>23000</v>
      </c>
      <c r="G22" s="5">
        <f>'Capex Build'!F7</f>
        <v>20000</v>
      </c>
      <c r="H22" s="5">
        <f>'Capex Build'!G7</f>
        <v>18000</v>
      </c>
    </row>
    <row r="23" spans="1:8">
      <c r="A23" t="s">
        <v>375</v>
      </c>
      <c r="D23" s="5">
        <f>MAX(0,'Income Statement'!D17*Assumptions!B18)</f>
        <v>4633.0333092562496</v>
      </c>
      <c r="E23" s="5">
        <f>MAX(0,'Income Statement'!E17*Assumptions!C18)</f>
        <v>5361.5353106383473</v>
      </c>
      <c r="F23" s="5">
        <f>MAX(0,'Income Statement'!F17*Assumptions!D18)</f>
        <v>6117.3476661526993</v>
      </c>
      <c r="G23" s="5">
        <f>MAX(0,'Income Statement'!G17*Assumptions!E18)</f>
        <v>6975.3828413472684</v>
      </c>
      <c r="H23" s="5">
        <f>MAX(0,'Income Statement'!H17*Assumptions!F18)</f>
        <v>7596.5283398393967</v>
      </c>
    </row>
    <row r="24" spans="1:8">
      <c r="A24" t="s">
        <v>376</v>
      </c>
      <c r="D24" s="5">
        <f>D35</f>
        <v>5953.9473000000007</v>
      </c>
      <c r="E24" s="5">
        <f>E35</f>
        <v>6098.3223801373133</v>
      </c>
      <c r="F24" s="5">
        <f>F35</f>
        <v>6039.4452960597637</v>
      </c>
      <c r="G24" s="5">
        <f>G35</f>
        <v>5897.3027390671696</v>
      </c>
      <c r="H24" s="5">
        <f>H35</f>
        <v>5526.387744481528</v>
      </c>
    </row>
    <row r="25" spans="1:8">
      <c r="A25" t="s">
        <v>377</v>
      </c>
      <c r="D25" s="5">
        <f>D20+D21-D22-D23-D24</f>
        <v>10937.498855181242</v>
      </c>
      <c r="E25" s="5">
        <f>E20+E21-E22-E23-E24</f>
        <v>15803.670670359508</v>
      </c>
      <c r="F25" s="5">
        <f>F20+F21-F22-F23-F24</f>
        <v>18801.737020105913</v>
      </c>
      <c r="G25" s="5">
        <f>G20+G21-G22-G23-G24</f>
        <v>26246.964092344297</v>
      </c>
      <c r="H25" s="5">
        <f>H20+H21-H22-H23-H24</f>
        <v>34330.767452507775</v>
      </c>
    </row>
    <row r="26" spans="1:8">
      <c r="A26" t="s">
        <v>378</v>
      </c>
      <c r="D26" s="5">
        <f>Assumptions!B19</f>
        <v>13000</v>
      </c>
      <c r="E26" s="5">
        <f>Assumptions!C19</f>
        <v>13000</v>
      </c>
      <c r="F26" s="5">
        <f>Assumptions!D19</f>
        <v>13000</v>
      </c>
      <c r="G26" s="5">
        <f>Assumptions!E19</f>
        <v>13000</v>
      </c>
      <c r="H26" s="5">
        <f>Assumptions!F19</f>
        <v>13000</v>
      </c>
    </row>
    <row r="27" spans="1:8">
      <c r="A27" t="s">
        <v>379</v>
      </c>
      <c r="D27" s="5">
        <f>D25-D26</f>
        <v>-2062.5011448187579</v>
      </c>
      <c r="E27" s="5">
        <f>E25-E26</f>
        <v>2803.6706703595082</v>
      </c>
      <c r="F27" s="5">
        <f>F25-F26</f>
        <v>5801.737020105913</v>
      </c>
      <c r="G27" s="5">
        <f>G25-G26</f>
        <v>13246.964092344297</v>
      </c>
      <c r="H27" s="5">
        <f>H25-H26</f>
        <v>21330.767452507775</v>
      </c>
    </row>
    <row r="28" spans="1:8">
      <c r="A28" t="s">
        <v>380</v>
      </c>
      <c r="D28" s="5">
        <f>MAX(0,-D27)</f>
        <v>2062.5011448187579</v>
      </c>
      <c r="E28" s="5">
        <f>MAX(0,-E27)</f>
        <v>0</v>
      </c>
      <c r="F28" s="5">
        <f>MAX(0,-F27)</f>
        <v>0</v>
      </c>
      <c r="G28" s="5">
        <f>MAX(0,-G27)</f>
        <v>0</v>
      </c>
      <c r="H28" s="5">
        <f>MAX(0,-H27)</f>
        <v>0</v>
      </c>
    </row>
    <row r="29" spans="1:8">
      <c r="A29" t="s">
        <v>381</v>
      </c>
      <c r="D29" s="6">
        <f>Assumptions!B20</f>
        <v>0.25</v>
      </c>
      <c r="E29" s="6">
        <f>Assumptions!C20</f>
        <v>0.3</v>
      </c>
      <c r="F29" s="6">
        <f>Assumptions!D20</f>
        <v>0.35</v>
      </c>
      <c r="G29" s="6">
        <f>Assumptions!E20</f>
        <v>0.4</v>
      </c>
      <c r="H29" s="6">
        <f>Assumptions!F20</f>
        <v>0.4</v>
      </c>
    </row>
    <row r="30" spans="1:8">
      <c r="A30" t="s">
        <v>382</v>
      </c>
      <c r="D30" s="5">
        <f>MIN(D19+D28,MAX(0,D27)*D29)</f>
        <v>0</v>
      </c>
      <c r="E30" s="5">
        <f>MIN(E19+E28,MAX(0,E27)*E29)</f>
        <v>841.10120110785249</v>
      </c>
      <c r="F30" s="5">
        <f>MIN(F19+F28,MAX(0,F27)*F29)</f>
        <v>2030.6079570370694</v>
      </c>
      <c r="G30" s="5">
        <f>MIN(G19+G28,MAX(0,G27)*G29)</f>
        <v>5298.7856369377187</v>
      </c>
      <c r="H30" s="5">
        <f>MIN(H19+H28,MAX(0,H27)*H29)</f>
        <v>8532.3069810031102</v>
      </c>
    </row>
    <row r="31" spans="1:8">
      <c r="A31" t="s">
        <v>383</v>
      </c>
      <c r="D31" s="5">
        <f>D19+D28-D30</f>
        <v>87118.891144818757</v>
      </c>
      <c r="E31" s="5">
        <f>E19+E28-E30</f>
        <v>86277.789943710901</v>
      </c>
      <c r="F31" s="5">
        <f>F19+F28-F30</f>
        <v>84247.181986673837</v>
      </c>
      <c r="G31" s="5">
        <f>G19+G28-G30</f>
        <v>78948.396349736111</v>
      </c>
      <c r="H31" s="5">
        <f>H19+H28-H30</f>
        <v>70416.089368732995</v>
      </c>
    </row>
    <row r="32" spans="1:8">
      <c r="A32" t="s">
        <v>384</v>
      </c>
      <c r="D32" s="5">
        <f>D25+D28-D30</f>
        <v>13000</v>
      </c>
      <c r="E32" s="5">
        <f>E25+E28-E30</f>
        <v>14962.569469251655</v>
      </c>
      <c r="F32" s="5">
        <f>F25+F28-F30</f>
        <v>16771.129063068845</v>
      </c>
      <c r="G32" s="5">
        <f>G25+G28-G30</f>
        <v>20948.178455406578</v>
      </c>
      <c r="H32" s="5">
        <f>H25+H28-H30</f>
        <v>25798.460471504666</v>
      </c>
    </row>
    <row r="33" spans="1:8">
      <c r="A33" t="s">
        <v>385</v>
      </c>
      <c r="D33" s="5">
        <f>D31-D32</f>
        <v>74118.891144818757</v>
      </c>
      <c r="E33" s="5">
        <f>E31-E32</f>
        <v>71315.220474459245</v>
      </c>
      <c r="F33" s="5">
        <f>F31-F32</f>
        <v>67476.052923604992</v>
      </c>
      <c r="G33" s="5">
        <f>G31-G32</f>
        <v>58000.217894329529</v>
      </c>
      <c r="H33" s="5">
        <f>H31-H32</f>
        <v>44617.628897228329</v>
      </c>
    </row>
    <row r="34" spans="1:8">
      <c r="A34" t="s">
        <v>386</v>
      </c>
      <c r="D34" s="6">
        <f>Assumptions!B17</f>
        <v>7.0000000000000007E-2</v>
      </c>
      <c r="E34" s="6">
        <f>Assumptions!C17</f>
        <v>7.0000000000000007E-2</v>
      </c>
      <c r="F34" s="6">
        <f>Assumptions!D17</f>
        <v>7.0000000000000007E-2</v>
      </c>
      <c r="G34" s="6">
        <f>Assumptions!E17</f>
        <v>7.0000000000000007E-2</v>
      </c>
      <c r="H34" s="6">
        <f>Assumptions!F17</f>
        <v>7.0000000000000007E-2</v>
      </c>
    </row>
    <row r="35" spans="1:8">
      <c r="A35" t="s">
        <v>370</v>
      </c>
      <c r="D35" s="5">
        <f>D19*D34</f>
        <v>5953.9473000000007</v>
      </c>
      <c r="E35" s="5">
        <f>E19*E34</f>
        <v>6098.3223801373133</v>
      </c>
      <c r="F35" s="5">
        <f>F19*F34</f>
        <v>6039.4452960597637</v>
      </c>
      <c r="G35" s="5">
        <f>G19*G34</f>
        <v>5897.3027390671696</v>
      </c>
      <c r="H35" s="5">
        <f>H19*H34</f>
        <v>5526.387744481528</v>
      </c>
    </row>
    <row r="36" spans="1:8">
      <c r="A36" t="s">
        <v>301</v>
      </c>
      <c r="D36" s="5">
        <f>D20*Assumptions!B21</f>
        <v>355.39800000000002</v>
      </c>
      <c r="E36" s="5">
        <f>E20*Assumptions!C21</f>
        <v>520</v>
      </c>
      <c r="F36" s="5">
        <f>F20*Assumptions!D21</f>
        <v>598.50277877006624</v>
      </c>
      <c r="G36" s="5">
        <f>G20*Assumptions!E21</f>
        <v>670.84516252275387</v>
      </c>
      <c r="H36" s="5">
        <f>H20*Assumptions!F21</f>
        <v>837.92713821626319</v>
      </c>
    </row>
  </sheetData>
  <mergeCells count="3">
    <mergeCell ref="A1:H1"/>
    <mergeCell ref="A2:H2"/>
    <mergeCell ref="A18:H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387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310</v>
      </c>
      <c r="B2" s="59"/>
      <c r="C2" s="59"/>
      <c r="D2" s="59"/>
      <c r="E2" s="59"/>
      <c r="F2" s="59"/>
      <c r="G2" s="59"/>
      <c r="H2" s="59"/>
    </row>
    <row r="4" spans="1:8">
      <c r="A4" s="18" t="s">
        <v>298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306</v>
      </c>
      <c r="B6" s="10">
        <v>8412.8700000000008</v>
      </c>
      <c r="C6" s="10">
        <v>15968.69</v>
      </c>
      <c r="D6" s="5">
        <f>'Income Statement'!D15</f>
        <v>20591.259152250001</v>
      </c>
      <c r="E6" s="5">
        <f>'Income Statement'!E15</f>
        <v>23829.045825059322</v>
      </c>
      <c r="F6" s="5">
        <f>'Income Statement'!F15</f>
        <v>27188.211849567553</v>
      </c>
      <c r="G6" s="5">
        <f>'Income Statement'!G15</f>
        <v>31001.701517098969</v>
      </c>
      <c r="H6" s="5">
        <f>'Income Statement'!H15</f>
        <v>33762.348177063985</v>
      </c>
    </row>
    <row r="7" spans="1:8">
      <c r="A7" t="s">
        <v>118</v>
      </c>
      <c r="B7" s="10">
        <v>10421.33</v>
      </c>
      <c r="C7" s="10">
        <v>11954.51</v>
      </c>
      <c r="D7" s="5">
        <f>'PP&amp;E Schedule'!D9</f>
        <v>11982.277535249998</v>
      </c>
      <c r="E7" s="5">
        <f>'PP&amp;E Schedule'!E9</f>
        <v>12793.719890403374</v>
      </c>
      <c r="F7" s="5">
        <f>'PP&amp;E Schedule'!F9</f>
        <v>13536.725955324386</v>
      </c>
      <c r="G7" s="5">
        <f>'PP&amp;E Schedule'!G9</f>
        <v>14232.197323053908</v>
      </c>
      <c r="H7" s="5">
        <f>'PP&amp;E Schedule'!H9</f>
        <v>14822.712503598928</v>
      </c>
    </row>
    <row r="8" spans="1:8">
      <c r="A8" t="s">
        <v>302</v>
      </c>
      <c r="B8" s="10">
        <v>7340.95</v>
      </c>
      <c r="C8" s="10">
        <v>7167.06</v>
      </c>
      <c r="D8" s="5">
        <f>'Debt Schedule'!D14</f>
        <v>5953.9473000000007</v>
      </c>
      <c r="E8" s="5">
        <f>'Debt Schedule'!E14</f>
        <v>6098.3223801373133</v>
      </c>
      <c r="F8" s="5">
        <f>'Debt Schedule'!F14</f>
        <v>6039.4452960597637</v>
      </c>
      <c r="G8" s="5">
        <f>'Debt Schedule'!G14</f>
        <v>5897.3027390671696</v>
      </c>
      <c r="H8" s="5">
        <f>'Debt Schedule'!H14</f>
        <v>5526.387744481528</v>
      </c>
    </row>
    <row r="9" spans="1:8">
      <c r="A9" t="s">
        <v>301</v>
      </c>
      <c r="B9" s="10">
        <v>-1037.18</v>
      </c>
      <c r="C9" s="10">
        <v>-906.49</v>
      </c>
      <c r="D9" s="5">
        <f>-'Debt Schedule'!D15</f>
        <v>-355.39800000000002</v>
      </c>
      <c r="E9" s="5">
        <f>-'Debt Schedule'!E15</f>
        <v>-520</v>
      </c>
      <c r="F9" s="5">
        <f>-'Debt Schedule'!F15</f>
        <v>-598.50277877006624</v>
      </c>
      <c r="G9" s="5">
        <f>-'Debt Schedule'!G15</f>
        <v>-670.84516252275387</v>
      </c>
      <c r="H9" s="5">
        <f>-'Debt Schedule'!H15</f>
        <v>-837.92713821626319</v>
      </c>
    </row>
    <row r="10" spans="1:8">
      <c r="A10" t="s">
        <v>388</v>
      </c>
      <c r="B10" s="10"/>
      <c r="C10" s="10"/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>
      <c r="A11" t="s">
        <v>389</v>
      </c>
      <c r="B11" s="10">
        <v>23929.02</v>
      </c>
      <c r="C11" s="10">
        <v>34218.74</v>
      </c>
      <c r="D11" s="5">
        <f>SUM(D6:D10)</f>
        <v>38172.085987499995</v>
      </c>
      <c r="E11" s="5">
        <f>SUM(E6:E10)</f>
        <v>42201.088095600004</v>
      </c>
      <c r="F11" s="5">
        <f>SUM(F6:F10)</f>
        <v>46165.880322181634</v>
      </c>
      <c r="G11" s="5">
        <f>SUM(G6:G10)</f>
        <v>50460.356416697294</v>
      </c>
      <c r="H11" s="5">
        <f>SUM(H6:H10)</f>
        <v>53273.521286928182</v>
      </c>
    </row>
    <row r="12" spans="1:8">
      <c r="A12" t="s">
        <v>390</v>
      </c>
      <c r="B12" s="10">
        <v>2207.02</v>
      </c>
      <c r="C12" s="10">
        <v>5442.28</v>
      </c>
      <c r="D12" s="5">
        <f>'Working Capital'!D16</f>
        <v>-384.74173500000325</v>
      </c>
      <c r="E12" s="5">
        <f>'Working Capital'!E16</f>
        <v>19.701721799996449</v>
      </c>
      <c r="F12" s="5">
        <f>'Working Capital'!F16</f>
        <v>-372.86684672302363</v>
      </c>
      <c r="G12" s="5">
        <f>'Working Capital'!G16</f>
        <v>-361.41042773266236</v>
      </c>
      <c r="H12" s="5">
        <f>'Working Capital'!H16</f>
        <v>-327.42916124007024</v>
      </c>
    </row>
    <row r="13" spans="1:8">
      <c r="A13" t="s">
        <v>391</v>
      </c>
      <c r="B13" s="10">
        <v>26136.04</v>
      </c>
      <c r="C13" s="10">
        <v>39661.019999999997</v>
      </c>
      <c r="D13" s="5">
        <f>SUM(D11:D12)</f>
        <v>37787.344252499992</v>
      </c>
      <c r="E13" s="5">
        <f>SUM(E11:E12)</f>
        <v>42220.7898174</v>
      </c>
      <c r="F13" s="5">
        <f>SUM(F11:F12)</f>
        <v>45793.013475458611</v>
      </c>
      <c r="G13" s="5">
        <f>SUM(G11:G12)</f>
        <v>50098.945988964631</v>
      </c>
      <c r="H13" s="5">
        <f>SUM(H11:H12)</f>
        <v>52946.092125688112</v>
      </c>
    </row>
    <row r="14" spans="1:8">
      <c r="A14" t="s">
        <v>392</v>
      </c>
      <c r="B14" s="10">
        <v>-2998.46</v>
      </c>
      <c r="C14" s="10">
        <v>-4596.5600000000004</v>
      </c>
      <c r="D14" s="5">
        <f>'Income Statement'!D16</f>
        <v>-5147.8147880625002</v>
      </c>
      <c r="E14" s="5">
        <f>'Income Statement'!E16</f>
        <v>-5957.2614562648305</v>
      </c>
      <c r="F14" s="5">
        <f>'Income Statement'!F16</f>
        <v>-6797.0529623918883</v>
      </c>
      <c r="G14" s="5">
        <f>'Income Statement'!G16</f>
        <v>-7750.4253792747422</v>
      </c>
      <c r="H14" s="5">
        <f>'Income Statement'!H16</f>
        <v>-8440.5870442659962</v>
      </c>
    </row>
    <row r="15" spans="1:8">
      <c r="A15" t="s">
        <v>374</v>
      </c>
      <c r="B15" s="10">
        <v>23137.58</v>
      </c>
      <c r="C15" s="10">
        <v>35064.46</v>
      </c>
      <c r="D15" s="5">
        <f>SUM(D13:D14)</f>
        <v>32639.529464437492</v>
      </c>
      <c r="E15" s="5">
        <f>SUM(E13:E14)</f>
        <v>36263.52836113517</v>
      </c>
      <c r="F15" s="5">
        <f>SUM(F13:F14)</f>
        <v>38995.960513066719</v>
      </c>
      <c r="G15" s="5">
        <f>SUM(G13:G14)</f>
        <v>42348.520609689891</v>
      </c>
      <c r="H15" s="5">
        <f>SUM(H13:H14)</f>
        <v>44505.505081422118</v>
      </c>
    </row>
    <row r="16" spans="1:8">
      <c r="A16" t="s">
        <v>92</v>
      </c>
      <c r="B16" s="10">
        <v>-15670.52</v>
      </c>
      <c r="C16" s="10">
        <v>-14559.05</v>
      </c>
      <c r="D16" s="5">
        <f>-'Capex Build'!C7</f>
        <v>-20000</v>
      </c>
      <c r="E16" s="5">
        <f>-'Capex Build'!D7</f>
        <v>-22000</v>
      </c>
      <c r="F16" s="5">
        <f>-'Capex Build'!E7</f>
        <v>-23000</v>
      </c>
      <c r="G16" s="5">
        <f>-'Capex Build'!F7</f>
        <v>-20000</v>
      </c>
      <c r="H16" s="5">
        <f>-'Capex Build'!G7</f>
        <v>-18000</v>
      </c>
    </row>
    <row r="17" spans="1:8">
      <c r="A17" t="s">
        <v>393</v>
      </c>
      <c r="B17" s="10">
        <v>1872.02</v>
      </c>
      <c r="C17" s="10">
        <v>-346.26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1:8">
      <c r="A18" t="s">
        <v>394</v>
      </c>
      <c r="B18" s="10">
        <v>-13798.5</v>
      </c>
      <c r="C18" s="10">
        <v>-14905.31</v>
      </c>
      <c r="D18" s="5">
        <f>SUM(D16:D17)</f>
        <v>-20000</v>
      </c>
      <c r="E18" s="5">
        <f>SUM(E16:E17)</f>
        <v>-22000</v>
      </c>
      <c r="F18" s="5">
        <f>SUM(F16:F17)</f>
        <v>-23000</v>
      </c>
      <c r="G18" s="5">
        <f>SUM(G16:G17)</f>
        <v>-20000</v>
      </c>
      <c r="H18" s="5">
        <f>SUM(H16:H17)</f>
        <v>-18000</v>
      </c>
    </row>
    <row r="19" spans="1:8">
      <c r="B19" s="10"/>
      <c r="C19" s="10"/>
      <c r="D19" s="5"/>
      <c r="E19" s="5"/>
      <c r="F19" s="5"/>
      <c r="G19" s="5"/>
      <c r="H19" s="5"/>
    </row>
    <row r="20" spans="1:8">
      <c r="A20" t="s">
        <v>365</v>
      </c>
      <c r="B20" s="10">
        <v>5324.95</v>
      </c>
      <c r="C20" s="10">
        <v>-9105.42</v>
      </c>
      <c r="D20" s="5">
        <f>'Debt Schedule'!D7</f>
        <v>2062.5011448187579</v>
      </c>
      <c r="E20" s="5">
        <f>'Debt Schedule'!E7</f>
        <v>-841.10120110785249</v>
      </c>
      <c r="F20" s="5">
        <f>'Debt Schedule'!F7</f>
        <v>-2030.6079570370694</v>
      </c>
      <c r="G20" s="5">
        <f>'Debt Schedule'!G7</f>
        <v>-5298.7856369377187</v>
      </c>
      <c r="H20" s="5">
        <f>'Debt Schedule'!H7</f>
        <v>-8532.3069810031102</v>
      </c>
    </row>
    <row r="21" spans="1:8">
      <c r="A21" t="s">
        <v>395</v>
      </c>
      <c r="B21" s="10">
        <v>-4489.87</v>
      </c>
      <c r="C21" s="10">
        <v>-4487.87</v>
      </c>
      <c r="D21" s="5">
        <f>-MAX(0,'Income Statement'!D17*Assumptions!B18)</f>
        <v>-4633.0333092562496</v>
      </c>
      <c r="E21" s="5">
        <f>-MAX(0,'Income Statement'!E17*Assumptions!C18)</f>
        <v>-5361.5353106383473</v>
      </c>
      <c r="F21" s="5">
        <f>-MAX(0,'Income Statement'!F17*Assumptions!D18)</f>
        <v>-6117.3476661526993</v>
      </c>
      <c r="G21" s="5">
        <f>-MAX(0,'Income Statement'!G17*Assumptions!E18)</f>
        <v>-6975.3828413472684</v>
      </c>
      <c r="H21" s="5">
        <f>-MAX(0,'Income Statement'!H17*Assumptions!F18)</f>
        <v>-7596.5283398393967</v>
      </c>
    </row>
    <row r="22" spans="1:8">
      <c r="A22" t="s">
        <v>396</v>
      </c>
      <c r="B22" s="10">
        <v>-7837.52</v>
      </c>
      <c r="C22" s="10">
        <v>-7793.83</v>
      </c>
      <c r="D22" s="5">
        <f>-'Debt Schedule'!D14</f>
        <v>-5953.9473000000007</v>
      </c>
      <c r="E22" s="5">
        <f>-'Debt Schedule'!E14</f>
        <v>-6098.3223801373133</v>
      </c>
      <c r="F22" s="5">
        <f>-'Debt Schedule'!F14</f>
        <v>-6039.4452960597637</v>
      </c>
      <c r="G22" s="5">
        <f>-'Debt Schedule'!G14</f>
        <v>-5897.3027390671696</v>
      </c>
      <c r="H22" s="5">
        <f>-'Debt Schedule'!H14</f>
        <v>-5526.387744481528</v>
      </c>
    </row>
    <row r="23" spans="1:8">
      <c r="A23" t="s">
        <v>397</v>
      </c>
      <c r="B23" s="10">
        <v>-7002.44</v>
      </c>
      <c r="C23" s="10">
        <v>-21387.119999999999</v>
      </c>
      <c r="D23" s="5">
        <f>SUM(D20:D22)</f>
        <v>-8524.4794644374924</v>
      </c>
      <c r="E23" s="5">
        <f>SUM(E20:E22)</f>
        <v>-12300.958891883514</v>
      </c>
      <c r="F23" s="5">
        <f>SUM(F20:F22)</f>
        <v>-14187.400919249532</v>
      </c>
      <c r="G23" s="5">
        <f>SUM(G20:G22)</f>
        <v>-18171.471217352158</v>
      </c>
      <c r="H23" s="5">
        <f>SUM(H20:H22)</f>
        <v>-21655.223065324033</v>
      </c>
    </row>
    <row r="24" spans="1:8">
      <c r="A24" t="s">
        <v>398</v>
      </c>
      <c r="B24" s="10">
        <v>187.48</v>
      </c>
      <c r="C24" s="10">
        <v>507.96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8">
      <c r="A25" t="s">
        <v>399</v>
      </c>
      <c r="B25" s="10">
        <v>2524.12</v>
      </c>
      <c r="C25" s="10">
        <v>-720.01</v>
      </c>
      <c r="D25" s="5">
        <f>D27-D26</f>
        <v>4115.0499999999993</v>
      </c>
      <c r="E25" s="5">
        <f>E27-E26</f>
        <v>1962.5694692516554</v>
      </c>
      <c r="F25" s="5">
        <f>F27-F26</f>
        <v>1808.55959381719</v>
      </c>
      <c r="G25" s="5">
        <f>G27-G26</f>
        <v>4177.0493923377326</v>
      </c>
      <c r="H25" s="5">
        <f>H27-H26</f>
        <v>4850.2820160980882</v>
      </c>
    </row>
    <row r="26" spans="1:8">
      <c r="A26" t="s">
        <v>373</v>
      </c>
      <c r="B26" s="10">
        <v>7080.84</v>
      </c>
      <c r="C26" s="10">
        <v>9604.9599999999991</v>
      </c>
      <c r="D26" s="5">
        <f>C27</f>
        <v>8884.9500000000007</v>
      </c>
      <c r="E26" s="5">
        <f>D27</f>
        <v>13000</v>
      </c>
      <c r="F26" s="5">
        <f>E27</f>
        <v>14962.569469251655</v>
      </c>
      <c r="G26" s="5">
        <f>F27</f>
        <v>16771.129063068845</v>
      </c>
      <c r="H26" s="5">
        <f>G27</f>
        <v>20948.178455406578</v>
      </c>
    </row>
    <row r="27" spans="1:8">
      <c r="A27" t="s">
        <v>400</v>
      </c>
      <c r="B27" s="10">
        <v>9604.9599999999991</v>
      </c>
      <c r="C27" s="10">
        <v>8884.9500000000007</v>
      </c>
      <c r="D27" s="5">
        <f>'Debt Schedule'!D11</f>
        <v>13000</v>
      </c>
      <c r="E27" s="5">
        <f>'Debt Schedule'!E11</f>
        <v>14962.569469251655</v>
      </c>
      <c r="F27" s="5">
        <f>'Debt Schedule'!F11</f>
        <v>16771.129063068845</v>
      </c>
      <c r="G27" s="5">
        <f>'Debt Schedule'!G11</f>
        <v>20948.178455406578</v>
      </c>
      <c r="H27" s="5">
        <f>'Debt Schedule'!H11</f>
        <v>25798.460471504666</v>
      </c>
    </row>
    <row r="28" spans="1:8">
      <c r="A28" t="s">
        <v>127</v>
      </c>
      <c r="B28" s="10">
        <v>7467.06</v>
      </c>
      <c r="C28" s="10">
        <v>20159.150000000001</v>
      </c>
      <c r="D28" s="5">
        <f>D15+D18</f>
        <v>12639.529464437492</v>
      </c>
      <c r="E28" s="5">
        <f>E15+E18</f>
        <v>14263.52836113517</v>
      </c>
      <c r="F28" s="5">
        <f>F15+F18</f>
        <v>15995.960513066719</v>
      </c>
      <c r="G28" s="5">
        <f>G15+G18</f>
        <v>22348.520609689891</v>
      </c>
      <c r="H28" s="5">
        <f>H15+H18</f>
        <v>26505.505081422118</v>
      </c>
    </row>
    <row r="29" spans="1:8">
      <c r="A29" t="s">
        <v>375</v>
      </c>
      <c r="B29" s="10">
        <v>4489.87</v>
      </c>
      <c r="C29" s="10">
        <v>4487.87</v>
      </c>
      <c r="D29" s="5">
        <f>-D21</f>
        <v>4633.0333092562496</v>
      </c>
      <c r="E29" s="5">
        <f>-E21</f>
        <v>5361.5353106383473</v>
      </c>
      <c r="F29" s="5">
        <f>-F21</f>
        <v>6117.3476661526993</v>
      </c>
      <c r="G29" s="5">
        <f>-G21</f>
        <v>6975.3828413472684</v>
      </c>
      <c r="H29" s="5">
        <f>-H21</f>
        <v>7596.5283398393967</v>
      </c>
    </row>
    <row r="30" spans="1:8">
      <c r="A30" t="s">
        <v>401</v>
      </c>
      <c r="B30" s="10">
        <v>2977.19</v>
      </c>
      <c r="C30" s="10">
        <v>15671.28</v>
      </c>
      <c r="D30" s="5">
        <f>D28-D29</f>
        <v>8006.4961551812421</v>
      </c>
      <c r="E30" s="5">
        <f>E28-E29</f>
        <v>8901.9930504968215</v>
      </c>
      <c r="F30" s="5">
        <f>F28-F29</f>
        <v>9878.6128469140203</v>
      </c>
      <c r="G30" s="5">
        <f>G28-G29</f>
        <v>15373.137768342622</v>
      </c>
      <c r="H30" s="5">
        <f>H28-H29</f>
        <v>18908.976741582723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"/>
  <sheetViews>
    <sheetView workbookViewId="0"/>
  </sheetViews>
  <sheetFormatPr defaultRowHeight="14"/>
  <cols>
    <col min="1" max="1" width="38" customWidth="1"/>
    <col min="2" max="8" width="14" customWidth="1"/>
  </cols>
  <sheetData>
    <row r="1" spans="1:8" ht="19">
      <c r="A1" s="62" t="s">
        <v>402</v>
      </c>
      <c r="B1" s="62"/>
      <c r="C1" s="62"/>
      <c r="D1" s="62"/>
      <c r="E1" s="62"/>
      <c r="F1" s="62"/>
      <c r="G1" s="62"/>
      <c r="H1" s="62"/>
    </row>
    <row r="2" spans="1:8" ht="14.5">
      <c r="A2" s="59" t="s">
        <v>403</v>
      </c>
      <c r="B2" s="59"/>
      <c r="C2" s="59"/>
      <c r="D2" s="59"/>
      <c r="E2" s="59"/>
      <c r="F2" s="59"/>
      <c r="G2" s="59"/>
      <c r="H2" s="59"/>
    </row>
    <row r="4" spans="1:8">
      <c r="A4" s="18" t="s">
        <v>35</v>
      </c>
      <c r="B4" s="18" t="s">
        <v>80</v>
      </c>
      <c r="C4" s="18" t="s">
        <v>81</v>
      </c>
      <c r="D4" s="18" t="s">
        <v>97</v>
      </c>
      <c r="E4" s="18" t="s">
        <v>98</v>
      </c>
      <c r="F4" s="18" t="s">
        <v>99</v>
      </c>
      <c r="G4" s="18" t="s">
        <v>100</v>
      </c>
      <c r="H4" s="18" t="s">
        <v>101</v>
      </c>
    </row>
    <row r="6" spans="1:8">
      <c r="A6" t="s">
        <v>85</v>
      </c>
      <c r="B6" s="6"/>
      <c r="C6" s="6">
        <f>'Income Statement'!C6/'Income Statement'!B6-1</f>
        <v>6.2218696033096599E-2</v>
      </c>
      <c r="D6" s="6">
        <f>'Income Statement'!D6/'Income Statement'!C6-1</f>
        <v>6.0875274198830098E-2</v>
      </c>
      <c r="E6" s="6">
        <f>'Income Statement'!E6/'Income Statement'!D6-1</f>
        <v>7.1000000000000174E-2</v>
      </c>
      <c r="F6" s="6">
        <f>'Income Statement'!F6/'Income Statement'!E6-1</f>
        <v>6.0799999999999965E-2</v>
      </c>
      <c r="G6" s="6">
        <f>'Income Statement'!G6/'Income Statement'!F6-1</f>
        <v>6.087499999999979E-2</v>
      </c>
      <c r="H6" s="6">
        <f>'Income Statement'!H6/'Income Statement'!G6-1</f>
        <v>5.5750000000000188E-2</v>
      </c>
    </row>
    <row r="7" spans="1:8">
      <c r="A7" t="s">
        <v>87</v>
      </c>
      <c r="B7" s="6">
        <f>'Income Statement'!B7/'Income Statement'!B6</f>
        <v>0.1180630715735808</v>
      </c>
      <c r="C7" s="6">
        <f>'Income Statement'!C7/'Income Statement'!C6</f>
        <v>0.15011518483204572</v>
      </c>
      <c r="D7" s="6">
        <f>'Income Statement'!D7/'Income Statement'!D6</f>
        <v>0.155</v>
      </c>
      <c r="E7" s="6">
        <f>'Income Statement'!E7/'Income Statement'!E6</f>
        <v>0.16</v>
      </c>
      <c r="F7" s="6">
        <f>'Income Statement'!F7/'Income Statement'!F6</f>
        <v>0.16500000000000001</v>
      </c>
      <c r="G7" s="6">
        <f>'Income Statement'!G7/'Income Statement'!G6</f>
        <v>0.17</v>
      </c>
      <c r="H7" s="6">
        <f>'Income Statement'!H7/'Income Statement'!H6</f>
        <v>0.17</v>
      </c>
    </row>
    <row r="8" spans="1:8">
      <c r="A8" t="s">
        <v>404</v>
      </c>
      <c r="B8" s="6">
        <f>'Income Statement'!B17/'Income Statement'!B6</f>
        <v>1.452248352048304E-2</v>
      </c>
      <c r="C8" s="6">
        <f>'Income Statement'!C17/'Income Statement'!C6</f>
        <v>4.6893352346003017E-2</v>
      </c>
      <c r="D8" s="6">
        <f>'Income Statement'!D17/'Income Statement'!D6</f>
        <v>6.270901404845744E-2</v>
      </c>
      <c r="E8" s="6">
        <f>'Income Statement'!E17/'Income Statement'!E6</f>
        <v>6.7758572777303711E-2</v>
      </c>
      <c r="F8" s="6">
        <f>'Income Statement'!F17/'Income Statement'!F6</f>
        <v>7.2879390426513771E-2</v>
      </c>
      <c r="G8" s="6">
        <f>'Income Statement'!G17/'Income Statement'!G6</f>
        <v>7.833311581846393E-2</v>
      </c>
      <c r="H8" s="6">
        <f>'Income Statement'!H17/'Income Statement'!H6</f>
        <v>8.080373304762023E-2</v>
      </c>
    </row>
    <row r="9" spans="1:8">
      <c r="A9" t="s">
        <v>90</v>
      </c>
      <c r="B9" s="11">
        <f>'Debt Schedule'!B13/'Income Statement'!B7</f>
        <v>3.2005131424939348</v>
      </c>
      <c r="C9" s="11">
        <f>'Debt Schedule'!C13/'Income Statement'!C7</f>
        <v>2.2998341642339399</v>
      </c>
      <c r="D9" s="11">
        <f>'Debt Schedule'!D13/'Income Statement'!D7</f>
        <v>1.9417039762796842</v>
      </c>
      <c r="E9" s="11">
        <f>'Debt Schedule'!E13/'Income Statement'!E7</f>
        <v>1.6898905618951268</v>
      </c>
      <c r="F9" s="11">
        <f>'Debt Schedule'!F13/'Income Statement'!F7</f>
        <v>1.4616000486225822</v>
      </c>
      <c r="G9" s="11">
        <f>'Debt Schedule'!G13/'Income Statement'!G7</f>
        <v>1.1494214867483041</v>
      </c>
      <c r="H9" s="11">
        <f>'Debt Schedule'!H13/'Income Statement'!H7</f>
        <v>0.8375198000695373</v>
      </c>
    </row>
    <row r="10" spans="1:8">
      <c r="A10" t="s">
        <v>405</v>
      </c>
      <c r="B10" s="11">
        <f>'Debt Schedule'!B10/'Income Statement'!B7</f>
        <v>3.4479691339363923</v>
      </c>
      <c r="C10" s="11">
        <f>'Debt Schedule'!C10/'Income Statement'!C7</f>
        <v>2.4408014524905925</v>
      </c>
      <c r="D10" s="11">
        <f>'Debt Schedule'!D10/'Income Statement'!D7</f>
        <v>2.2822669731318093</v>
      </c>
      <c r="E10" s="11">
        <f>'Debt Schedule'!E10/'Income Statement'!E7</f>
        <v>2.044444677546275</v>
      </c>
      <c r="F10" s="11">
        <f>'Debt Schedule'!F10/'Income Statement'!F7</f>
        <v>1.8248797899819322</v>
      </c>
      <c r="G10" s="11">
        <f>'Debt Schedule'!G10/'Income Statement'!G7</f>
        <v>1.5645627965404569</v>
      </c>
      <c r="H10" s="11">
        <f>'Debt Schedule'!H10/'Income Statement'!H7</f>
        <v>1.3217840245527588</v>
      </c>
    </row>
    <row r="11" spans="1:8">
      <c r="A11" t="s">
        <v>406</v>
      </c>
      <c r="B11" s="11">
        <f>'Income Statement'!B7/'Debt Schedule'!B14</f>
        <v>3.5147766978388355</v>
      </c>
      <c r="C11" s="11">
        <f>'Income Statement'!C7/'Debt Schedule'!C14</f>
        <v>4.8622070974709297</v>
      </c>
      <c r="D11" s="11">
        <f>'Income Statement'!D7/'Debt Schedule'!D14</f>
        <v>6.4112233555543883</v>
      </c>
      <c r="E11" s="11">
        <f>'Income Statement'!E7/'Debt Schedule'!E14</f>
        <v>6.9201143306316624</v>
      </c>
      <c r="F11" s="11">
        <f>'Income Statement'!F7/'Debt Schedule'!F14</f>
        <v>7.6440596874519313</v>
      </c>
      <c r="G11" s="11">
        <f>'Income Statement'!G7/'Debt Schedule'!G14</f>
        <v>8.5565145032183079</v>
      </c>
      <c r="H11" s="11">
        <f>'Income Statement'!H7/'Debt Schedule'!H14</f>
        <v>9.6398450036600121</v>
      </c>
    </row>
    <row r="12" spans="1:8">
      <c r="A12" t="s">
        <v>407</v>
      </c>
      <c r="B12" s="11">
        <f>'Balance Sheet'!B17/'Balance Sheet'!B34</f>
        <v>0.79438633904630473</v>
      </c>
      <c r="C12" s="11">
        <f>'Balance Sheet'!C17/'Balance Sheet'!C34</f>
        <v>0.74563423129164108</v>
      </c>
      <c r="D12" s="11">
        <f>'Balance Sheet'!D17/'Balance Sheet'!D34</f>
        <v>0.79709373053977262</v>
      </c>
      <c r="E12" s="11">
        <f>'Balance Sheet'!E17/'Balance Sheet'!E34</f>
        <v>0.82808394712369626</v>
      </c>
      <c r="F12" s="11">
        <f>'Balance Sheet'!F17/'Balance Sheet'!F34</f>
        <v>0.86209322681035427</v>
      </c>
      <c r="G12" s="11">
        <f>'Balance Sheet'!G17/'Balance Sheet'!G34</f>
        <v>0.92638524336094652</v>
      </c>
      <c r="H12" s="11">
        <f>'Balance Sheet'!H17/'Balance Sheet'!H34</f>
        <v>1.0061378306010171</v>
      </c>
    </row>
    <row r="13" spans="1:8">
      <c r="A13" t="s">
        <v>408</v>
      </c>
      <c r="B13" s="6">
        <f>'Cash Flow'!B15/'Income Statement'!B7</f>
        <v>0.896742862901038</v>
      </c>
      <c r="C13" s="6">
        <f>'Cash Flow'!C15/'Income Statement'!C7</f>
        <v>1.0062193434120386</v>
      </c>
      <c r="D13" s="6">
        <f>'Cash Flow'!D15/'Income Statement'!D7</f>
        <v>0.8550627669424663</v>
      </c>
      <c r="E13" s="6">
        <f>'Cash Flow'!E15/'Income Statement'!E7</f>
        <v>0.85930316012198027</v>
      </c>
      <c r="F13" s="6">
        <f>'Cash Flow'!F15/'Income Statement'!F7</f>
        <v>0.8446922324652405</v>
      </c>
      <c r="G13" s="6">
        <f>'Cash Flow'!G15/'Income Statement'!G7</f>
        <v>0.83924339059319042</v>
      </c>
      <c r="H13" s="6">
        <f>'Cash Flow'!H15/'Income Statement'!H7</f>
        <v>0.83541511817320979</v>
      </c>
    </row>
    <row r="14" spans="1:8">
      <c r="A14" t="s">
        <v>409</v>
      </c>
      <c r="B14" s="6">
        <f>-'Cash Flow'!B16/'Income Statement'!B6</f>
        <v>7.1704676586719904E-2</v>
      </c>
      <c r="C14" s="6">
        <f>-'Cash Flow'!C16/'Income Statement'!C6</f>
        <v>6.2716695799955827E-2</v>
      </c>
      <c r="D14" s="6">
        <f>-'Cash Flow'!D16/'Income Statement'!D6</f>
        <v>8.1211176172429761E-2</v>
      </c>
      <c r="E14" s="6">
        <f>-'Cash Flow'!E16/'Income Statement'!E6</f>
        <v>8.3410171605670144E-2</v>
      </c>
      <c r="F14" s="6">
        <f>-'Cash Flow'!F16/'Income Statement'!F6</f>
        <v>8.2203566216338148E-2</v>
      </c>
      <c r="G14" s="6">
        <f>-'Cash Flow'!G16/'Income Statement'!G6</f>
        <v>6.7379627125957881E-2</v>
      </c>
      <c r="H14" s="6">
        <f>-'Cash Flow'!H16/'Income Statement'!H6</f>
        <v>5.7439416920068279E-2</v>
      </c>
    </row>
    <row r="15" spans="1:8">
      <c r="A15" t="s">
        <v>410</v>
      </c>
      <c r="B15" s="6">
        <f>'Cash Flow'!B28/'Income Statement'!B7</f>
        <v>0.28940073948329187</v>
      </c>
      <c r="C15" s="6">
        <f>'Cash Flow'!C28/'Income Statement'!C7</f>
        <v>0.57849248717204826</v>
      </c>
      <c r="D15" s="6">
        <f>'Cash Flow'!D28/'Income Statement'!D7</f>
        <v>0.33111969486227422</v>
      </c>
      <c r="E15" s="6">
        <f>'Cash Flow'!E28/'Income Statement'!E7</f>
        <v>0.33798958758654185</v>
      </c>
      <c r="F15" s="6">
        <f>'Cash Flow'!F28/'Income Statement'!F7</f>
        <v>0.34648880085106987</v>
      </c>
      <c r="G15" s="6">
        <f>'Cash Flow'!G28/'Income Statement'!G7</f>
        <v>0.44289264279343821</v>
      </c>
      <c r="H15" s="6">
        <f>'Cash Flow'!H28/'Income Statement'!H7</f>
        <v>0.49753619511398472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workbookViewId="0"/>
  </sheetViews>
  <sheetFormatPr defaultRowHeight="14"/>
  <cols>
    <col min="1" max="1" width="34" customWidth="1"/>
    <col min="2" max="8" width="16" customWidth="1"/>
  </cols>
  <sheetData>
    <row r="1" spans="1:8" ht="19">
      <c r="A1" s="66" t="s">
        <v>411</v>
      </c>
      <c r="B1" s="66"/>
      <c r="C1" s="66"/>
      <c r="D1" s="66"/>
      <c r="E1" s="66"/>
      <c r="F1" s="66"/>
      <c r="G1" s="66"/>
      <c r="H1" s="67"/>
    </row>
    <row r="2" spans="1:8" ht="14.5">
      <c r="A2" s="59" t="s">
        <v>412</v>
      </c>
      <c r="B2" s="59"/>
      <c r="C2" s="59"/>
      <c r="D2" s="59"/>
      <c r="E2" s="59"/>
      <c r="F2" s="59"/>
      <c r="G2" s="59"/>
      <c r="H2" s="59"/>
    </row>
    <row r="4" spans="1:8">
      <c r="A4" s="23" t="s">
        <v>96</v>
      </c>
      <c r="B4" s="23" t="s">
        <v>81</v>
      </c>
      <c r="C4" s="23" t="s">
        <v>97</v>
      </c>
      <c r="D4" s="23" t="s">
        <v>98</v>
      </c>
      <c r="E4" s="23" t="s">
        <v>99</v>
      </c>
      <c r="F4" s="23" t="s">
        <v>100</v>
      </c>
      <c r="G4" s="23" t="s">
        <v>101</v>
      </c>
    </row>
    <row r="6" spans="1:8">
      <c r="A6" s="68" t="s">
        <v>413</v>
      </c>
      <c r="B6" s="68"/>
      <c r="C6" s="68"/>
      <c r="D6" s="68"/>
      <c r="E6" s="68"/>
      <c r="F6" s="68"/>
      <c r="G6" s="68"/>
    </row>
    <row r="7" spans="1:8">
      <c r="A7" t="s">
        <v>414</v>
      </c>
      <c r="B7" s="26">
        <v>36</v>
      </c>
      <c r="C7" s="26">
        <v>37</v>
      </c>
      <c r="D7" s="26">
        <v>38.5</v>
      </c>
      <c r="E7" s="26">
        <v>40</v>
      </c>
      <c r="F7" s="26">
        <v>42</v>
      </c>
      <c r="G7" s="26">
        <v>44</v>
      </c>
    </row>
    <row r="8" spans="1:8">
      <c r="A8" t="s">
        <v>46</v>
      </c>
      <c r="B8" s="25">
        <v>31.97</v>
      </c>
      <c r="C8" s="25">
        <f>B8*(1+C10)</f>
        <v>32.76925</v>
      </c>
      <c r="D8" s="25">
        <f>C8*(1+D10)</f>
        <v>34.407712500000002</v>
      </c>
      <c r="E8" s="25">
        <f>D8*(1+E10)</f>
        <v>35.784021000000003</v>
      </c>
      <c r="F8" s="25">
        <f>E8*(1+F10)</f>
        <v>37.036461735000003</v>
      </c>
      <c r="G8" s="25">
        <f>F8*(1+G10)</f>
        <v>38.147555587050007</v>
      </c>
    </row>
    <row r="9" spans="1:8">
      <c r="A9" t="s">
        <v>415</v>
      </c>
      <c r="B9" s="6">
        <f t="shared" ref="B9:G9" si="0">B8/B7</f>
        <v>0.88805555555555549</v>
      </c>
      <c r="C9" s="6">
        <f t="shared" si="0"/>
        <v>0.88565540540540544</v>
      </c>
      <c r="D9" s="6">
        <f t="shared" si="0"/>
        <v>0.8937068181818183</v>
      </c>
      <c r="E9" s="6">
        <f t="shared" si="0"/>
        <v>0.89460052500000009</v>
      </c>
      <c r="F9" s="6">
        <f t="shared" si="0"/>
        <v>0.88182051750000012</v>
      </c>
      <c r="G9" s="6">
        <f t="shared" si="0"/>
        <v>0.86698989970568197</v>
      </c>
    </row>
    <row r="10" spans="1:8">
      <c r="A10" t="s">
        <v>83</v>
      </c>
      <c r="B10" s="6"/>
      <c r="C10" s="27">
        <v>2.5000000000000001E-2</v>
      </c>
      <c r="D10" s="27">
        <v>0.05</v>
      </c>
      <c r="E10" s="27">
        <v>0.04</v>
      </c>
      <c r="F10" s="27">
        <v>3.5000000000000003E-2</v>
      </c>
      <c r="G10" s="27">
        <v>0.03</v>
      </c>
    </row>
    <row r="11" spans="1:8" ht="70">
      <c r="A11" s="3" t="s">
        <v>416</v>
      </c>
      <c r="B11" s="3" t="s">
        <v>417</v>
      </c>
      <c r="C11" s="3" t="s">
        <v>418</v>
      </c>
      <c r="D11" s="3" t="s">
        <v>419</v>
      </c>
      <c r="E11" s="3" t="s">
        <v>420</v>
      </c>
      <c r="F11" s="3" t="s">
        <v>421</v>
      </c>
      <c r="G11" s="3" t="s">
        <v>421</v>
      </c>
    </row>
    <row r="14" spans="1:8">
      <c r="A14" s="68" t="s">
        <v>422</v>
      </c>
      <c r="B14" s="68"/>
      <c r="C14" s="68"/>
      <c r="D14" s="68"/>
      <c r="E14" s="68"/>
      <c r="F14" s="68"/>
      <c r="G14" s="68"/>
    </row>
    <row r="15" spans="1:8">
      <c r="A15" t="s">
        <v>86</v>
      </c>
      <c r="B15" s="8">
        <f>Historicals!F12</f>
        <v>72611823584.61058</v>
      </c>
      <c r="C15" s="8">
        <f>B15*(1+C16)</f>
        <v>75153237410.071945</v>
      </c>
      <c r="D15" s="8">
        <f>C15*(1+D16)</f>
        <v>76656302158.273392</v>
      </c>
      <c r="E15" s="8">
        <f>D15*(1+E16)</f>
        <v>78189428201.438858</v>
      </c>
      <c r="F15" s="8">
        <f>E15*(1+F16)</f>
        <v>80144163906.474823</v>
      </c>
      <c r="G15" s="8">
        <f>F15*(1+G16)</f>
        <v>82147768004.136688</v>
      </c>
    </row>
    <row r="16" spans="1:8">
      <c r="A16" t="s">
        <v>423</v>
      </c>
      <c r="C16" s="27">
        <v>3.5000000000000003E-2</v>
      </c>
      <c r="D16" s="27">
        <v>0.02</v>
      </c>
      <c r="E16" s="27">
        <v>0.02</v>
      </c>
      <c r="F16" s="27">
        <v>2.5000000000000001E-2</v>
      </c>
      <c r="G16" s="27">
        <v>2.5000000000000001E-2</v>
      </c>
    </row>
    <row r="17" spans="1:7" ht="42">
      <c r="A17" s="3" t="s">
        <v>424</v>
      </c>
      <c r="B17" s="3" t="s">
        <v>425</v>
      </c>
      <c r="C17" s="3" t="s">
        <v>426</v>
      </c>
      <c r="D17" s="3" t="s">
        <v>427</v>
      </c>
      <c r="E17" s="3" t="s">
        <v>428</v>
      </c>
      <c r="F17" s="3" t="s">
        <v>428</v>
      </c>
      <c r="G17" s="3" t="s">
        <v>428</v>
      </c>
    </row>
    <row r="18" spans="1:7" ht="28">
      <c r="A18" s="3" t="s">
        <v>429</v>
      </c>
      <c r="B18" s="3" t="s">
        <v>430</v>
      </c>
      <c r="C18" s="3" t="s">
        <v>431</v>
      </c>
      <c r="D18" s="3" t="s">
        <v>432</v>
      </c>
      <c r="E18" s="3" t="s">
        <v>432</v>
      </c>
      <c r="F18" s="3" t="s">
        <v>432</v>
      </c>
      <c r="G18" s="3" t="s">
        <v>432</v>
      </c>
    </row>
    <row r="19" spans="1:7">
      <c r="A19" s="3" t="s">
        <v>87</v>
      </c>
      <c r="B19" s="28">
        <v>0.15010000000000001</v>
      </c>
      <c r="C19" s="29">
        <v>0.155</v>
      </c>
      <c r="D19" s="29">
        <v>0.16</v>
      </c>
      <c r="E19" s="29">
        <v>0.16500000000000001</v>
      </c>
      <c r="F19" s="29">
        <v>0.17</v>
      </c>
      <c r="G19" s="29">
        <v>0.17</v>
      </c>
    </row>
    <row r="20" spans="1:7" ht="28">
      <c r="A20" s="3" t="s">
        <v>433</v>
      </c>
      <c r="B20" s="3" t="s">
        <v>434</v>
      </c>
      <c r="C20" s="3" t="s">
        <v>435</v>
      </c>
      <c r="D20" s="3" t="s">
        <v>436</v>
      </c>
      <c r="E20" s="3" t="s">
        <v>437</v>
      </c>
      <c r="F20" s="3" t="s">
        <v>437</v>
      </c>
      <c r="G20" s="3" t="s">
        <v>437</v>
      </c>
    </row>
    <row r="21" spans="1:7" ht="126">
      <c r="A21" s="3" t="s">
        <v>438</v>
      </c>
      <c r="B21" s="3" t="s">
        <v>439</v>
      </c>
      <c r="C21" s="3"/>
      <c r="D21" s="3"/>
      <c r="E21" s="3"/>
      <c r="F21" s="3"/>
      <c r="G21" s="3"/>
    </row>
    <row r="24" spans="1:7">
      <c r="A24" s="61" t="s">
        <v>440</v>
      </c>
      <c r="B24" s="61"/>
      <c r="C24" s="61"/>
      <c r="D24" s="61"/>
      <c r="E24" s="61"/>
      <c r="F24" s="61"/>
      <c r="G24" s="61"/>
    </row>
    <row r="25" spans="1:7">
      <c r="A25" t="s">
        <v>441</v>
      </c>
      <c r="B25" s="7">
        <v>8</v>
      </c>
      <c r="C25" s="35">
        <v>8</v>
      </c>
      <c r="D25" s="35">
        <v>8</v>
      </c>
      <c r="E25" s="35">
        <v>8</v>
      </c>
      <c r="F25" s="35">
        <v>8</v>
      </c>
      <c r="G25" s="35">
        <v>8</v>
      </c>
    </row>
    <row r="26" spans="1:7">
      <c r="A26" t="s">
        <v>442</v>
      </c>
      <c r="B26" s="7">
        <v>87</v>
      </c>
      <c r="C26" s="35">
        <v>86</v>
      </c>
      <c r="D26" s="35">
        <v>85</v>
      </c>
      <c r="E26" s="35">
        <v>84</v>
      </c>
      <c r="F26" s="35">
        <v>83</v>
      </c>
      <c r="G26" s="35">
        <v>82</v>
      </c>
    </row>
    <row r="27" spans="1:7">
      <c r="A27" t="s">
        <v>443</v>
      </c>
      <c r="B27" s="7">
        <v>64</v>
      </c>
      <c r="C27" s="35">
        <v>64</v>
      </c>
      <c r="D27" s="35">
        <v>65</v>
      </c>
      <c r="E27" s="35">
        <v>65</v>
      </c>
      <c r="F27" s="35">
        <v>65</v>
      </c>
      <c r="G27" s="35">
        <v>65</v>
      </c>
    </row>
    <row r="28" spans="1:7" ht="168">
      <c r="A28" s="3" t="s">
        <v>444</v>
      </c>
      <c r="B28" s="3" t="s">
        <v>445</v>
      </c>
      <c r="C28" s="3"/>
      <c r="D28" s="3"/>
      <c r="E28" s="3"/>
      <c r="F28" s="3"/>
      <c r="G28" s="3"/>
    </row>
    <row r="30" spans="1:7">
      <c r="A30" s="61" t="s">
        <v>446</v>
      </c>
      <c r="B30" s="61"/>
      <c r="C30" s="61"/>
      <c r="D30" s="61"/>
      <c r="E30" s="61"/>
      <c r="F30" s="61"/>
      <c r="G30" s="61"/>
    </row>
    <row r="31" spans="1:7">
      <c r="A31" t="s">
        <v>447</v>
      </c>
      <c r="B31" s="5">
        <v>60794</v>
      </c>
    </row>
    <row r="32" spans="1:7">
      <c r="A32" t="s">
        <v>448</v>
      </c>
      <c r="B32" s="5">
        <v>9370</v>
      </c>
    </row>
    <row r="33" spans="1:7">
      <c r="A33" t="s">
        <v>449</v>
      </c>
      <c r="B33" s="6">
        <f>B32/B31</f>
        <v>0.15412705201171167</v>
      </c>
    </row>
    <row r="34" spans="1:7">
      <c r="A34" t="s">
        <v>450</v>
      </c>
      <c r="B34" s="7">
        <v>7.27</v>
      </c>
    </row>
    <row r="35" spans="1:7">
      <c r="A35" t="s">
        <v>66</v>
      </c>
      <c r="B35" s="5">
        <v>84173</v>
      </c>
    </row>
    <row r="36" spans="1:7" ht="182">
      <c r="A36" s="3" t="s">
        <v>451</v>
      </c>
      <c r="B36" s="3" t="s">
        <v>452</v>
      </c>
      <c r="C36" s="3"/>
      <c r="D36" s="3"/>
      <c r="E36" s="3"/>
      <c r="F36" s="3"/>
      <c r="G36" s="3"/>
    </row>
  </sheetData>
  <mergeCells count="6">
    <mergeCell ref="A30:G30"/>
    <mergeCell ref="A1:H1"/>
    <mergeCell ref="A2:H2"/>
    <mergeCell ref="A6:G6"/>
    <mergeCell ref="A14:G14"/>
    <mergeCell ref="A24:G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6"/>
  <sheetViews>
    <sheetView workbookViewId="0"/>
  </sheetViews>
  <sheetFormatPr defaultRowHeight="14"/>
  <cols>
    <col min="1" max="1" width="34" customWidth="1"/>
    <col min="2" max="6" width="18" customWidth="1"/>
    <col min="7" max="8" width="16" customWidth="1"/>
  </cols>
  <sheetData>
    <row r="1" spans="1:8" ht="19">
      <c r="A1" s="70" t="s">
        <v>453</v>
      </c>
      <c r="B1" s="70"/>
      <c r="C1" s="70"/>
      <c r="D1" s="70"/>
      <c r="E1" s="70"/>
      <c r="F1" s="70"/>
      <c r="G1" s="22"/>
      <c r="H1" s="22"/>
    </row>
    <row r="2" spans="1:8" ht="14.5">
      <c r="A2" s="59" t="s">
        <v>454</v>
      </c>
      <c r="B2" s="59"/>
      <c r="C2" s="59"/>
      <c r="D2" s="59"/>
      <c r="E2" s="59"/>
      <c r="F2" s="59"/>
      <c r="G2" s="1"/>
      <c r="H2" s="1"/>
    </row>
    <row r="4" spans="1:8">
      <c r="A4" s="23" t="s">
        <v>455</v>
      </c>
      <c r="B4" s="23" t="s">
        <v>97</v>
      </c>
      <c r="C4" s="23" t="s">
        <v>98</v>
      </c>
      <c r="D4" s="23" t="s">
        <v>99</v>
      </c>
      <c r="E4" s="23" t="s">
        <v>100</v>
      </c>
      <c r="F4" s="23" t="s">
        <v>101</v>
      </c>
    </row>
    <row r="6" spans="1:8">
      <c r="A6" t="s">
        <v>119</v>
      </c>
      <c r="B6" s="5">
        <f>'Income Statement'!D12</f>
        <v>20591.259152250001</v>
      </c>
      <c r="C6" s="5">
        <f>'Income Statement'!E12</f>
        <v>23829.045825059322</v>
      </c>
      <c r="D6" s="5">
        <f>'Income Statement'!F12</f>
        <v>27188.211849567553</v>
      </c>
      <c r="E6" s="5">
        <f>'Income Statement'!G12</f>
        <v>31001.701517098969</v>
      </c>
      <c r="F6" s="5">
        <f>'Income Statement'!H12</f>
        <v>33762.348177063985</v>
      </c>
    </row>
    <row r="7" spans="1:8">
      <c r="A7" t="s">
        <v>456</v>
      </c>
      <c r="B7" s="6">
        <f>Assumptions!B11</f>
        <v>0.25</v>
      </c>
      <c r="C7" s="6">
        <f>Assumptions!C11</f>
        <v>0.25</v>
      </c>
      <c r="D7" s="6">
        <f>Assumptions!D11</f>
        <v>0.25</v>
      </c>
      <c r="E7" s="6">
        <f>Assumptions!E11</f>
        <v>0.25</v>
      </c>
      <c r="F7" s="6">
        <f>Assumptions!F11</f>
        <v>0.25</v>
      </c>
    </row>
    <row r="8" spans="1:8">
      <c r="A8" t="s">
        <v>457</v>
      </c>
      <c r="B8" s="5">
        <f>B6*(1-B7)</f>
        <v>15443.4443641875</v>
      </c>
      <c r="C8" s="5">
        <f>C6*(1-C7)</f>
        <v>17871.784368794491</v>
      </c>
      <c r="D8" s="5">
        <f>D6*(1-D7)</f>
        <v>20391.158887175665</v>
      </c>
      <c r="E8" s="5">
        <f>E6*(1-E7)</f>
        <v>23251.276137824228</v>
      </c>
      <c r="F8" s="5">
        <f>F6*(1-F7)</f>
        <v>25321.76113279799</v>
      </c>
    </row>
    <row r="9" spans="1:8">
      <c r="A9" t="s">
        <v>118</v>
      </c>
      <c r="B9" s="5">
        <f>'PP&amp;E Schedule'!D9</f>
        <v>11982.277535249998</v>
      </c>
      <c r="C9" s="5">
        <f>'PP&amp;E Schedule'!E9</f>
        <v>12793.719890403374</v>
      </c>
      <c r="D9" s="5">
        <f>'PP&amp;E Schedule'!F9</f>
        <v>13536.725955324386</v>
      </c>
      <c r="E9" s="5">
        <f>'PP&amp;E Schedule'!G9</f>
        <v>14232.197323053908</v>
      </c>
      <c r="F9" s="5">
        <f>'PP&amp;E Schedule'!H9</f>
        <v>14822.712503598928</v>
      </c>
    </row>
    <row r="10" spans="1:8">
      <c r="A10" t="s">
        <v>92</v>
      </c>
      <c r="B10" s="5">
        <f>'PP&amp;E Schedule'!D8</f>
        <v>20000</v>
      </c>
      <c r="C10" s="5">
        <f>'PP&amp;E Schedule'!E8</f>
        <v>22000</v>
      </c>
      <c r="D10" s="5">
        <f>'PP&amp;E Schedule'!F8</f>
        <v>23000</v>
      </c>
      <c r="E10" s="5">
        <f>'PP&amp;E Schedule'!G8</f>
        <v>20000</v>
      </c>
      <c r="F10" s="5">
        <f>'PP&amp;E Schedule'!H8</f>
        <v>18000</v>
      </c>
    </row>
    <row r="11" spans="1:8">
      <c r="A11" t="s">
        <v>126</v>
      </c>
      <c r="B11" s="5">
        <f>'Working Capital'!D15</f>
        <v>384.74173500000325</v>
      </c>
      <c r="C11" s="5">
        <f>'Working Capital'!E15</f>
        <v>-19.701721799996449</v>
      </c>
      <c r="D11" s="5">
        <f>'Working Capital'!F15</f>
        <v>372.86684672302363</v>
      </c>
      <c r="E11" s="5">
        <f>'Working Capital'!G15</f>
        <v>361.41042773266236</v>
      </c>
      <c r="F11" s="5">
        <f>'Working Capital'!H15</f>
        <v>327.42916124007024</v>
      </c>
    </row>
    <row r="12" spans="1:8">
      <c r="A12" t="s">
        <v>458</v>
      </c>
      <c r="B12" s="5">
        <f>B8+B9-B10-B11</f>
        <v>7040.9801644374966</v>
      </c>
      <c r="C12" s="5">
        <f>C8+C9-C10-C11</f>
        <v>8685.20598099786</v>
      </c>
      <c r="D12" s="5">
        <f>D8+D9-D10-D11</f>
        <v>10555.017995777023</v>
      </c>
      <c r="E12" s="5">
        <f>E8+E9-E10-E11</f>
        <v>17122.063033145474</v>
      </c>
      <c r="F12" s="5">
        <f>F8+F9-F10-F11</f>
        <v>21817.04447515685</v>
      </c>
    </row>
    <row r="13" spans="1:8">
      <c r="A13" t="s">
        <v>459</v>
      </c>
      <c r="B13" s="5">
        <v>1</v>
      </c>
      <c r="C13" s="5">
        <v>2</v>
      </c>
      <c r="D13" s="5">
        <v>3</v>
      </c>
      <c r="E13" s="5">
        <v>4</v>
      </c>
      <c r="F13" s="5">
        <v>5</v>
      </c>
    </row>
    <row r="14" spans="1:8">
      <c r="A14" t="s">
        <v>460</v>
      </c>
      <c r="B14" s="30">
        <f>1/(1+$B$30)^B13</f>
        <v>0.89513887977592599</v>
      </c>
      <c r="C14" s="30">
        <f>1/(1+$B$30)^C13</f>
        <v>0.80127361408649966</v>
      </c>
      <c r="D14" s="30">
        <f>1/(1+$B$30)^D13</f>
        <v>0.71725116530739697</v>
      </c>
      <c r="E14" s="30">
        <f>1/(1+$B$30)^E13</f>
        <v>0.64203940463124076</v>
      </c>
      <c r="F14" s="30">
        <f>1/(1+$B$30)^F13</f>
        <v>0.57471443343361139</v>
      </c>
    </row>
    <row r="15" spans="1:8">
      <c r="A15" t="s">
        <v>461</v>
      </c>
      <c r="B15" s="5">
        <f>B12*B14</f>
        <v>6302.6550969190957</v>
      </c>
      <c r="C15" s="5">
        <f>C12*C14</f>
        <v>6959.2263854798384</v>
      </c>
      <c r="D15" s="5">
        <f>D12*D14</f>
        <v>7570.5989573116158</v>
      </c>
      <c r="E15" s="5">
        <f>E12*E14</f>
        <v>10993.039155859296</v>
      </c>
      <c r="F15" s="5">
        <f>F12*F14</f>
        <v>12538.570354735672</v>
      </c>
    </row>
    <row r="18" spans="1:6">
      <c r="A18" s="68" t="s">
        <v>59</v>
      </c>
      <c r="B18" s="68"/>
      <c r="C18" s="68"/>
      <c r="D18" s="68"/>
      <c r="E18" s="68"/>
      <c r="F18" s="68"/>
    </row>
    <row r="19" spans="1:6">
      <c r="A19" t="s">
        <v>211</v>
      </c>
      <c r="B19" s="27">
        <v>6.8699999999999997E-2</v>
      </c>
    </row>
    <row r="20" spans="1:6">
      <c r="A20" t="s">
        <v>462</v>
      </c>
      <c r="B20" s="48">
        <v>1.1299999999999999</v>
      </c>
    </row>
    <row r="21" spans="1:6">
      <c r="A21" t="s">
        <v>463</v>
      </c>
      <c r="B21" s="27">
        <v>6.0600000000000001E-2</v>
      </c>
    </row>
    <row r="22" spans="1:6">
      <c r="A22" t="s">
        <v>464</v>
      </c>
      <c r="B22" s="6">
        <f>B19+B20*B21</f>
        <v>0.13717799999999999</v>
      </c>
    </row>
    <row r="23" spans="1:6">
      <c r="A23" t="s">
        <v>465</v>
      </c>
      <c r="B23" s="12">
        <f>-'Income Statement'!C10/AVERAGE('Debt Schedule'!B10,'Debt Schedule'!C10)</f>
        <v>8.2370437454962128E-2</v>
      </c>
    </row>
    <row r="24" spans="1:6">
      <c r="A24" t="s">
        <v>456</v>
      </c>
      <c r="B24" s="27">
        <v>0.25</v>
      </c>
    </row>
    <row r="25" spans="1:6">
      <c r="A25" t="s">
        <v>466</v>
      </c>
      <c r="B25" s="6">
        <f>B23*(1-B24)</f>
        <v>6.1777828091221593E-2</v>
      </c>
    </row>
    <row r="26" spans="1:6">
      <c r="A26" t="s">
        <v>467</v>
      </c>
      <c r="B26" s="31">
        <f>B31*B46</f>
        <v>235080.068</v>
      </c>
    </row>
    <row r="27" spans="1:6">
      <c r="A27" t="s">
        <v>468</v>
      </c>
      <c r="B27" s="31">
        <f>'Debt Schedule'!C10</f>
        <v>85056.39</v>
      </c>
    </row>
    <row r="28" spans="1:6">
      <c r="A28" t="s">
        <v>469</v>
      </c>
      <c r="B28" s="6">
        <f>B26/(B26+B27)</f>
        <v>0.7343120788823122</v>
      </c>
    </row>
    <row r="29" spans="1:6">
      <c r="A29" t="s">
        <v>470</v>
      </c>
      <c r="B29" s="6">
        <f>B27/(B26+B27)</f>
        <v>0.26568792111768791</v>
      </c>
    </row>
    <row r="30" spans="1:6">
      <c r="A30" t="s">
        <v>59</v>
      </c>
      <c r="B30" s="6">
        <f>B28*B22+B29*B25</f>
        <v>0.11714508507364038</v>
      </c>
    </row>
    <row r="31" spans="1:6">
      <c r="A31" t="s">
        <v>471</v>
      </c>
      <c r="B31" s="39">
        <v>188.45</v>
      </c>
    </row>
    <row r="34" spans="1:6">
      <c r="A34" s="68" t="s">
        <v>472</v>
      </c>
      <c r="B34" s="68"/>
      <c r="C34" s="68"/>
      <c r="D34" s="68"/>
      <c r="E34" s="68"/>
      <c r="F34" s="68"/>
    </row>
    <row r="35" spans="1:6">
      <c r="A35" t="s">
        <v>473</v>
      </c>
      <c r="B35" s="27">
        <v>0.03</v>
      </c>
    </row>
    <row r="36" spans="1:6">
      <c r="A36" t="s">
        <v>474</v>
      </c>
      <c r="B36" s="40">
        <v>8</v>
      </c>
    </row>
    <row r="37" spans="1:6">
      <c r="A37" t="s">
        <v>475</v>
      </c>
      <c r="B37" s="5">
        <f>F12</f>
        <v>21817.04447515685</v>
      </c>
    </row>
    <row r="38" spans="1:6">
      <c r="A38" t="s">
        <v>476</v>
      </c>
      <c r="B38" s="5">
        <f>'Income Statement'!H7</f>
        <v>53273.521286928182</v>
      </c>
    </row>
    <row r="39" spans="1:6">
      <c r="A39" t="s">
        <v>477</v>
      </c>
      <c r="B39" s="5">
        <f>B37*(1+B35)/(B30-B35)</f>
        <v>257863.71991515497</v>
      </c>
    </row>
    <row r="40" spans="1:6">
      <c r="A40" t="s">
        <v>478</v>
      </c>
      <c r="B40" s="5">
        <f>B38*B36</f>
        <v>426188.17029542546</v>
      </c>
    </row>
    <row r="41" spans="1:6">
      <c r="A41" t="s">
        <v>479</v>
      </c>
      <c r="B41" s="5">
        <f>SUM(B15:F15)</f>
        <v>44364.089950305519</v>
      </c>
    </row>
    <row r="42" spans="1:6">
      <c r="A42" t="s">
        <v>480</v>
      </c>
      <c r="B42" s="5">
        <f>B39*F14</f>
        <v>148198.00169412175</v>
      </c>
    </row>
    <row r="43" spans="1:6">
      <c r="A43" t="s">
        <v>481</v>
      </c>
      <c r="B43" s="5">
        <f>B41+B42</f>
        <v>192562.09164442727</v>
      </c>
    </row>
    <row r="44" spans="1:6">
      <c r="A44" t="s">
        <v>482</v>
      </c>
      <c r="B44" s="37">
        <v>84173</v>
      </c>
    </row>
    <row r="45" spans="1:6">
      <c r="A45" t="s">
        <v>483</v>
      </c>
      <c r="B45" s="5">
        <f>B43-B44</f>
        <v>108389.09164442727</v>
      </c>
    </row>
    <row r="46" spans="1:6">
      <c r="A46" t="s">
        <v>484</v>
      </c>
      <c r="B46" s="33">
        <v>1247.44</v>
      </c>
    </row>
    <row r="47" spans="1:6">
      <c r="A47" t="s">
        <v>485</v>
      </c>
      <c r="B47" s="32">
        <f>ROUND(B45/B46,2)</f>
        <v>86.89</v>
      </c>
    </row>
    <row r="50" spans="1:7">
      <c r="A50" s="61" t="s">
        <v>486</v>
      </c>
      <c r="B50" s="61"/>
      <c r="C50" s="61"/>
      <c r="D50" s="61"/>
      <c r="E50" s="61"/>
      <c r="F50" s="61"/>
      <c r="G50" s="24"/>
    </row>
    <row r="51" spans="1:7">
      <c r="B51" s="6">
        <v>0.02</v>
      </c>
      <c r="C51" s="6">
        <v>2.5000000000000001E-2</v>
      </c>
      <c r="D51" s="6">
        <v>0.03</v>
      </c>
      <c r="E51" s="6">
        <v>3.5000000000000003E-2</v>
      </c>
      <c r="F51" s="6">
        <v>0.04</v>
      </c>
    </row>
    <row r="52" spans="1:7">
      <c r="A52" s="6">
        <v>9.5000000000000001E-2</v>
      </c>
      <c r="B52" s="32">
        <f t="shared" ref="B52:F56" si="0">ROUND((SUMPRODUCT($B$12:$F$12,1/(1+$A52)^$B$13:$F$13)+($F$12*(1+B$51)/($A52-B$51))/(1+$A52)^5-$B$44)/$B$46,1)</f>
        <v>121.7</v>
      </c>
      <c r="C52" s="32">
        <f t="shared" si="0"/>
        <v>133.30000000000001</v>
      </c>
      <c r="D52" s="32">
        <f t="shared" si="0"/>
        <v>146.6</v>
      </c>
      <c r="E52" s="32">
        <f t="shared" si="0"/>
        <v>162.19999999999999</v>
      </c>
      <c r="F52" s="32">
        <f t="shared" si="0"/>
        <v>180.7</v>
      </c>
    </row>
    <row r="53" spans="1:7">
      <c r="A53" s="6">
        <v>0.105</v>
      </c>
      <c r="B53" s="32">
        <f t="shared" si="0"/>
        <v>96.8</v>
      </c>
      <c r="C53" s="32">
        <f t="shared" si="0"/>
        <v>105.4</v>
      </c>
      <c r="D53" s="32">
        <f t="shared" si="0"/>
        <v>115.2</v>
      </c>
      <c r="E53" s="32">
        <f t="shared" si="0"/>
        <v>126.4</v>
      </c>
      <c r="F53" s="32">
        <f t="shared" si="0"/>
        <v>139.30000000000001</v>
      </c>
    </row>
    <row r="54" spans="1:7">
      <c r="A54" s="6">
        <v>0.115</v>
      </c>
      <c r="B54" s="32">
        <f t="shared" si="0"/>
        <v>77.3</v>
      </c>
      <c r="C54" s="32">
        <f t="shared" si="0"/>
        <v>83.9</v>
      </c>
      <c r="D54" s="32">
        <f t="shared" si="0"/>
        <v>91.3</v>
      </c>
      <c r="E54" s="32">
        <f t="shared" si="0"/>
        <v>99.6</v>
      </c>
      <c r="F54" s="32">
        <f t="shared" si="0"/>
        <v>109</v>
      </c>
    </row>
    <row r="55" spans="1:7">
      <c r="A55" s="6">
        <v>0.125</v>
      </c>
      <c r="B55" s="32">
        <f t="shared" si="0"/>
        <v>61.5</v>
      </c>
      <c r="C55" s="32">
        <f t="shared" si="0"/>
        <v>66.7</v>
      </c>
      <c r="D55" s="32">
        <f t="shared" si="0"/>
        <v>72.5</v>
      </c>
      <c r="E55" s="32">
        <f t="shared" si="0"/>
        <v>78.900000000000006</v>
      </c>
      <c r="F55" s="32">
        <f t="shared" si="0"/>
        <v>86</v>
      </c>
    </row>
    <row r="56" spans="1:7">
      <c r="A56" s="6">
        <v>0.13500000000000001</v>
      </c>
      <c r="B56" s="32">
        <f t="shared" si="0"/>
        <v>48.6</v>
      </c>
      <c r="C56" s="32">
        <f t="shared" si="0"/>
        <v>52.8</v>
      </c>
      <c r="D56" s="32">
        <f t="shared" si="0"/>
        <v>57.3</v>
      </c>
      <c r="E56" s="32">
        <f t="shared" si="0"/>
        <v>62.3</v>
      </c>
      <c r="F56" s="32">
        <f t="shared" si="0"/>
        <v>67.900000000000006</v>
      </c>
    </row>
    <row r="59" spans="1:7">
      <c r="A59" s="61" t="s">
        <v>487</v>
      </c>
      <c r="B59" s="61"/>
      <c r="C59" s="61"/>
      <c r="D59" s="61"/>
      <c r="E59" s="61"/>
      <c r="F59" s="61"/>
      <c r="G59" s="24"/>
    </row>
    <row r="60" spans="1:7">
      <c r="B60" s="11">
        <v>5</v>
      </c>
      <c r="C60" s="11">
        <v>6</v>
      </c>
      <c r="D60" s="11">
        <v>7</v>
      </c>
      <c r="E60" s="11">
        <v>8</v>
      </c>
      <c r="F60" s="11">
        <v>9</v>
      </c>
    </row>
    <row r="61" spans="1:7">
      <c r="A61" s="6">
        <v>9.5000000000000001E-2</v>
      </c>
      <c r="B61" s="32">
        <f t="shared" ref="B61:F65" si="1">ROUND((SUMPRODUCT($B$12:$F$12,1/(1+$A61)^$B$13:$F$13)+($B$38*B$60)/(1+$A61)^5-$B$44)/$B$46,1)</f>
        <v>106.2</v>
      </c>
      <c r="C61" s="32">
        <f t="shared" si="1"/>
        <v>133.4</v>
      </c>
      <c r="D61" s="32">
        <f t="shared" si="1"/>
        <v>160.5</v>
      </c>
      <c r="E61" s="32">
        <f t="shared" si="1"/>
        <v>187.6</v>
      </c>
      <c r="F61" s="32">
        <f t="shared" si="1"/>
        <v>214.7</v>
      </c>
    </row>
    <row r="62" spans="1:7">
      <c r="A62" s="6">
        <v>0.105</v>
      </c>
      <c r="B62" s="32">
        <f t="shared" si="1"/>
        <v>99</v>
      </c>
      <c r="C62" s="32">
        <f t="shared" si="1"/>
        <v>125</v>
      </c>
      <c r="D62" s="32">
        <f t="shared" si="1"/>
        <v>150.9</v>
      </c>
      <c r="E62" s="32">
        <f t="shared" si="1"/>
        <v>176.8</v>
      </c>
      <c r="F62" s="32">
        <f t="shared" si="1"/>
        <v>202.7</v>
      </c>
    </row>
    <row r="63" spans="1:7">
      <c r="A63" s="6">
        <v>0.115</v>
      </c>
      <c r="B63" s="32">
        <f t="shared" si="1"/>
        <v>92.2</v>
      </c>
      <c r="C63" s="32">
        <f t="shared" si="1"/>
        <v>117</v>
      </c>
      <c r="D63" s="32">
        <f t="shared" si="1"/>
        <v>141.80000000000001</v>
      </c>
      <c r="E63" s="32">
        <f t="shared" si="1"/>
        <v>166.6</v>
      </c>
      <c r="F63" s="32">
        <f t="shared" si="1"/>
        <v>191.3</v>
      </c>
    </row>
    <row r="64" spans="1:7">
      <c r="A64" s="6">
        <v>0.125</v>
      </c>
      <c r="B64" s="32">
        <f t="shared" si="1"/>
        <v>85.8</v>
      </c>
      <c r="C64" s="32">
        <f t="shared" si="1"/>
        <v>109.5</v>
      </c>
      <c r="D64" s="32">
        <f t="shared" si="1"/>
        <v>133.19999999999999</v>
      </c>
      <c r="E64" s="32">
        <f t="shared" si="1"/>
        <v>156.9</v>
      </c>
      <c r="F64" s="32">
        <f t="shared" si="1"/>
        <v>180.5</v>
      </c>
    </row>
    <row r="65" spans="1:6">
      <c r="A65" s="6">
        <v>0.13500000000000001</v>
      </c>
      <c r="B65" s="32">
        <f t="shared" si="1"/>
        <v>79.599999999999994</v>
      </c>
      <c r="C65" s="32">
        <f t="shared" si="1"/>
        <v>102.3</v>
      </c>
      <c r="D65" s="32">
        <f t="shared" si="1"/>
        <v>125</v>
      </c>
      <c r="E65" s="32">
        <f t="shared" si="1"/>
        <v>147.6</v>
      </c>
      <c r="F65" s="32">
        <f t="shared" si="1"/>
        <v>170.3</v>
      </c>
    </row>
    <row r="68" spans="1:6">
      <c r="A68" s="61" t="s">
        <v>488</v>
      </c>
      <c r="B68" s="61"/>
      <c r="C68" s="61"/>
      <c r="D68" s="61"/>
      <c r="E68" s="61"/>
      <c r="F68" s="61"/>
    </row>
    <row r="69" spans="1:6">
      <c r="A69" t="s">
        <v>489</v>
      </c>
      <c r="B69" s="39">
        <v>188.45</v>
      </c>
    </row>
    <row r="70" spans="1:6">
      <c r="A70" t="s">
        <v>490</v>
      </c>
      <c r="B70" s="33">
        <f>B46</f>
        <v>1247.44</v>
      </c>
    </row>
    <row r="71" spans="1:6">
      <c r="A71" t="s">
        <v>491</v>
      </c>
      <c r="B71" s="5">
        <f>B69*B70</f>
        <v>235080.068</v>
      </c>
    </row>
    <row r="72" spans="1:6">
      <c r="A72" t="s">
        <v>492</v>
      </c>
      <c r="B72" s="5">
        <v>84173</v>
      </c>
    </row>
    <row r="73" spans="1:6">
      <c r="A73" t="s">
        <v>493</v>
      </c>
      <c r="B73" s="5">
        <f>B71+B72</f>
        <v>319253.06799999997</v>
      </c>
    </row>
    <row r="74" spans="1:6">
      <c r="A74" t="s">
        <v>494</v>
      </c>
      <c r="B74" s="5">
        <f>B41</f>
        <v>44364.089950305519</v>
      </c>
    </row>
    <row r="75" spans="1:6">
      <c r="A75" t="s">
        <v>495</v>
      </c>
      <c r="B75" s="5">
        <f>B73-B74</f>
        <v>274888.97804969444</v>
      </c>
    </row>
    <row r="76" spans="1:6">
      <c r="A76" t="s">
        <v>496</v>
      </c>
      <c r="B76" s="30">
        <f>F14</f>
        <v>0.57471443343361139</v>
      </c>
    </row>
    <row r="77" spans="1:6">
      <c r="A77" t="s">
        <v>497</v>
      </c>
      <c r="B77" s="5">
        <f>B75/B76</f>
        <v>478305.33228020708</v>
      </c>
    </row>
    <row r="78" spans="1:6">
      <c r="A78" t="s">
        <v>498</v>
      </c>
      <c r="B78" s="6">
        <f>(B77*$B$30-$F$12)/(B77+$F$12)</f>
        <v>6.8411404800468936E-2</v>
      </c>
    </row>
    <row r="79" spans="1:6">
      <c r="A79" t="s">
        <v>499</v>
      </c>
      <c r="B79" s="41">
        <f>ROUND(B47,2)</f>
        <v>86.89</v>
      </c>
    </row>
    <row r="80" spans="1:6">
      <c r="A80" t="s">
        <v>500</v>
      </c>
      <c r="B80" s="6">
        <f>B69/B79-1</f>
        <v>1.16883415813097</v>
      </c>
    </row>
    <row r="83" spans="1:6">
      <c r="A83" s="61" t="s">
        <v>451</v>
      </c>
      <c r="B83" s="61"/>
      <c r="C83" s="61"/>
      <c r="D83" s="61"/>
      <c r="E83" s="61"/>
      <c r="F83" s="61"/>
    </row>
    <row r="84" spans="1:6" ht="26.65" customHeight="1">
      <c r="A84" s="51" t="s">
        <v>501</v>
      </c>
      <c r="B84" s="69" t="s">
        <v>502</v>
      </c>
      <c r="C84" s="69"/>
      <c r="D84" s="69"/>
      <c r="E84" s="69"/>
      <c r="F84" s="69"/>
    </row>
    <row r="85" spans="1:6" ht="26.65" customHeight="1">
      <c r="A85" s="51" t="s">
        <v>503</v>
      </c>
      <c r="B85" s="69" t="s">
        <v>504</v>
      </c>
      <c r="C85" s="69"/>
      <c r="D85" s="69"/>
      <c r="E85" s="69"/>
      <c r="F85" s="69"/>
    </row>
    <row r="86" spans="1:6" ht="26.65" customHeight="1">
      <c r="A86" s="51" t="s">
        <v>505</v>
      </c>
      <c r="B86" s="69" t="s">
        <v>506</v>
      </c>
      <c r="C86" s="69"/>
      <c r="D86" s="69"/>
      <c r="E86" s="69"/>
      <c r="F86" s="69"/>
    </row>
  </sheetData>
  <mergeCells count="11">
    <mergeCell ref="B85:F85"/>
    <mergeCell ref="B86:F86"/>
    <mergeCell ref="A1:F1"/>
    <mergeCell ref="A2:F2"/>
    <mergeCell ref="A50:F50"/>
    <mergeCell ref="A59:F59"/>
    <mergeCell ref="A18:F18"/>
    <mergeCell ref="A34:F34"/>
    <mergeCell ref="A68:F68"/>
    <mergeCell ref="A83:F83"/>
    <mergeCell ref="B84:F84"/>
  </mergeCells>
  <conditionalFormatting sqref="B52:F5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61:F65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6"/>
  <sheetViews>
    <sheetView workbookViewId="0"/>
  </sheetViews>
  <sheetFormatPr defaultRowHeight="14"/>
  <cols>
    <col min="1" max="1" width="26" customWidth="1"/>
    <col min="2" max="2" width="16" customWidth="1"/>
    <col min="3" max="4" width="18" customWidth="1"/>
    <col min="5" max="5" width="16" customWidth="1"/>
    <col min="6" max="6" width="18" customWidth="1"/>
    <col min="7" max="7" width="15" customWidth="1"/>
    <col min="8" max="8" width="14" customWidth="1"/>
    <col min="9" max="9" width="18" customWidth="1"/>
    <col min="10" max="10" width="12" customWidth="1"/>
  </cols>
  <sheetData>
    <row r="1" spans="1:10" ht="19">
      <c r="A1" s="67" t="s">
        <v>507</v>
      </c>
      <c r="B1" s="67"/>
      <c r="C1" s="67"/>
      <c r="D1" s="67"/>
      <c r="E1" s="67"/>
      <c r="F1" s="67"/>
      <c r="G1" s="67"/>
      <c r="H1" s="67"/>
    </row>
    <row r="2" spans="1:10" ht="14.5">
      <c r="A2" s="59" t="s">
        <v>508</v>
      </c>
      <c r="B2" s="59"/>
      <c r="C2" s="59"/>
      <c r="D2" s="59"/>
      <c r="E2" s="59"/>
      <c r="F2" s="59"/>
      <c r="G2" s="59"/>
      <c r="H2" s="59"/>
    </row>
    <row r="4" spans="1:10">
      <c r="A4" s="38" t="s">
        <v>14</v>
      </c>
      <c r="B4" s="38" t="s">
        <v>509</v>
      </c>
      <c r="C4" s="38" t="s">
        <v>510</v>
      </c>
      <c r="D4" s="38" t="s">
        <v>511</v>
      </c>
      <c r="E4" s="38" t="s">
        <v>512</v>
      </c>
      <c r="F4" s="38" t="s">
        <v>513</v>
      </c>
      <c r="G4" s="38" t="s">
        <v>45</v>
      </c>
      <c r="H4" s="38" t="s">
        <v>514</v>
      </c>
      <c r="I4" s="38" t="s">
        <v>515</v>
      </c>
      <c r="J4" s="38" t="s">
        <v>516</v>
      </c>
    </row>
    <row r="5" spans="1:10">
      <c r="A5" t="s">
        <v>517</v>
      </c>
      <c r="B5" s="10">
        <v>235080</v>
      </c>
      <c r="C5" s="10">
        <v>84173</v>
      </c>
      <c r="D5" s="5">
        <f>ROUND(B5+C5,0)</f>
        <v>319253</v>
      </c>
      <c r="E5" s="10">
        <v>232140</v>
      </c>
      <c r="F5" s="10">
        <v>34848</v>
      </c>
      <c r="G5" s="9">
        <v>31.67</v>
      </c>
      <c r="H5" s="11">
        <f>ROUND(D5/F5,1)</f>
        <v>9.1999999999999993</v>
      </c>
      <c r="I5" s="42">
        <f>ROUND(D5/G5*10,0)</f>
        <v>100806</v>
      </c>
      <c r="J5" s="43">
        <v>19.3</v>
      </c>
    </row>
    <row r="6" spans="1:10">
      <c r="A6" t="s">
        <v>518</v>
      </c>
      <c r="B6" s="10">
        <v>311808</v>
      </c>
      <c r="C6" s="10">
        <v>53870</v>
      </c>
      <c r="D6" s="5">
        <f>ROUND(B6+C6,0)</f>
        <v>365678</v>
      </c>
      <c r="E6" s="10">
        <v>185470</v>
      </c>
      <c r="F6" s="10">
        <v>32048</v>
      </c>
      <c r="G6" s="9">
        <v>30.14</v>
      </c>
      <c r="H6" s="11">
        <f>ROUND(D6/F6,1)</f>
        <v>11.4</v>
      </c>
      <c r="I6" s="42">
        <f>ROUND(D6/G6*10,0)</f>
        <v>121326</v>
      </c>
      <c r="J6" s="43">
        <v>25.8</v>
      </c>
    </row>
    <row r="7" spans="1:10">
      <c r="A7" t="s">
        <v>519</v>
      </c>
      <c r="B7" s="10">
        <v>115360</v>
      </c>
      <c r="C7" s="10">
        <v>3913</v>
      </c>
      <c r="D7" s="5">
        <f>ROUND(B7+C7,0)</f>
        <v>119273</v>
      </c>
      <c r="E7" s="10">
        <v>53455</v>
      </c>
      <c r="F7" s="10">
        <v>9099</v>
      </c>
      <c r="G7" s="9">
        <v>9.25</v>
      </c>
      <c r="H7" s="11">
        <f>ROUND(D7/F7,1)</f>
        <v>13.1</v>
      </c>
      <c r="I7" s="42">
        <f>ROUND(D7/G7*10,0)</f>
        <v>128944</v>
      </c>
      <c r="J7" s="43">
        <v>37.4</v>
      </c>
    </row>
    <row r="8" spans="1:10">
      <c r="A8" t="s">
        <v>520</v>
      </c>
      <c r="B8" s="10">
        <v>71912</v>
      </c>
      <c r="C8" s="10">
        <v>31928</v>
      </c>
      <c r="D8" s="5">
        <f>ROUND(B8+C8,0)</f>
        <v>103840</v>
      </c>
      <c r="E8" s="10">
        <v>110810</v>
      </c>
      <c r="F8" s="10">
        <v>13146</v>
      </c>
      <c r="G8" s="9">
        <v>19.43</v>
      </c>
      <c r="H8" s="11">
        <f>ROUND(D8/F8,1)</f>
        <v>7.9</v>
      </c>
      <c r="I8" s="42">
        <f>ROUND(D8/G8*10,0)</f>
        <v>53443</v>
      </c>
      <c r="J8" s="43">
        <v>14.9</v>
      </c>
    </row>
    <row r="11" spans="1:10">
      <c r="A11" s="61" t="s">
        <v>521</v>
      </c>
      <c r="B11" s="61"/>
      <c r="C11" s="61"/>
      <c r="D11" s="61"/>
      <c r="E11" s="61"/>
      <c r="F11" s="71"/>
      <c r="G11" s="71"/>
      <c r="H11" s="61"/>
      <c r="I11" s="61"/>
      <c r="J11" s="61"/>
    </row>
    <row r="12" spans="1:10">
      <c r="A12" t="s">
        <v>35</v>
      </c>
      <c r="B12" t="s">
        <v>522</v>
      </c>
      <c r="C12" t="s">
        <v>523</v>
      </c>
      <c r="D12" t="s">
        <v>524</v>
      </c>
      <c r="F12" s="11"/>
      <c r="G12" s="11"/>
    </row>
    <row r="13" spans="1:10">
      <c r="A13" t="s">
        <v>525</v>
      </c>
      <c r="B13" s="11">
        <f>ROUND(MIN(H6:H8),1)</f>
        <v>7.9</v>
      </c>
      <c r="C13" s="11">
        <f>ROUND(MEDIAN(H6:H8),1)</f>
        <v>11.4</v>
      </c>
      <c r="D13" s="11">
        <f>ROUND(MAX(H6:H8),1)</f>
        <v>13.1</v>
      </c>
      <c r="F13" s="11"/>
      <c r="G13" s="11"/>
    </row>
    <row r="14" spans="1:10">
      <c r="A14" t="s">
        <v>526</v>
      </c>
      <c r="B14" s="44">
        <f>ROUND(MIN(I6:I8),0)</f>
        <v>53443</v>
      </c>
      <c r="C14" s="44">
        <f>ROUND(MEDIAN(I6:I8),0)</f>
        <v>121326</v>
      </c>
      <c r="D14" s="44">
        <f>ROUND(MAX(I6:I8),0)</f>
        <v>128944</v>
      </c>
      <c r="F14" s="11"/>
      <c r="G14" s="11"/>
    </row>
    <row r="15" spans="1:10">
      <c r="A15" t="s">
        <v>516</v>
      </c>
      <c r="B15" s="11">
        <f>ROUND(MIN(J6:J8),1)</f>
        <v>14.9</v>
      </c>
      <c r="C15" s="11">
        <f>ROUND(MEDIAN(J6:J8),1)</f>
        <v>25.8</v>
      </c>
      <c r="D15" s="11">
        <f>ROUND(MAX(J6:J8),1)</f>
        <v>37.4</v>
      </c>
    </row>
    <row r="16" spans="1:10" ht="126">
      <c r="A16" s="3" t="s">
        <v>527</v>
      </c>
      <c r="B16" s="3" t="s">
        <v>528</v>
      </c>
      <c r="C16" s="3"/>
      <c r="D16" s="3"/>
    </row>
    <row r="17" spans="1:8">
      <c r="A17" s="68"/>
      <c r="B17" s="68"/>
      <c r="C17" s="68"/>
      <c r="D17" s="68"/>
      <c r="E17" s="68"/>
      <c r="F17" s="68"/>
      <c r="G17" s="68"/>
    </row>
    <row r="18" spans="1:8">
      <c r="B18" s="5"/>
    </row>
    <row r="19" spans="1:8">
      <c r="A19" s="61" t="s">
        <v>529</v>
      </c>
      <c r="B19" s="71"/>
      <c r="C19" s="61"/>
      <c r="D19" s="61"/>
      <c r="E19" s="61"/>
      <c r="F19" s="61"/>
      <c r="G19" s="61"/>
      <c r="H19" s="61"/>
    </row>
    <row r="20" spans="1:8" ht="14.65" customHeight="1">
      <c r="A20" s="3" t="s">
        <v>35</v>
      </c>
      <c r="B20" s="5" t="s">
        <v>530</v>
      </c>
      <c r="C20" t="s">
        <v>416</v>
      </c>
    </row>
    <row r="21" spans="1:8" ht="14.65" customHeight="1">
      <c r="A21" s="3" t="s">
        <v>531</v>
      </c>
      <c r="B21" s="5">
        <f>'Income Statement'!D7</f>
        <v>38172.085987499995</v>
      </c>
      <c r="C21" t="s">
        <v>532</v>
      </c>
    </row>
    <row r="22" spans="1:8" ht="14.65" customHeight="1">
      <c r="A22" s="3" t="s">
        <v>533</v>
      </c>
      <c r="B22" s="37">
        <v>9</v>
      </c>
      <c r="C22" t="s">
        <v>534</v>
      </c>
    </row>
    <row r="23" spans="1:8" ht="14.65" customHeight="1">
      <c r="A23" s="3" t="s">
        <v>535</v>
      </c>
      <c r="B23" s="5">
        <f>B21*B22</f>
        <v>343548.77388749993</v>
      </c>
    </row>
    <row r="24" spans="1:8" ht="14.65" customHeight="1">
      <c r="A24" s="3" t="s">
        <v>536</v>
      </c>
      <c r="B24" s="7">
        <f>Forecast!G7</f>
        <v>32.76925</v>
      </c>
      <c r="C24" t="s">
        <v>537</v>
      </c>
    </row>
    <row r="25" spans="1:8" ht="14.65" customHeight="1">
      <c r="A25" s="3" t="s">
        <v>538</v>
      </c>
      <c r="B25" s="45">
        <v>100000</v>
      </c>
      <c r="C25" t="s">
        <v>539</v>
      </c>
    </row>
    <row r="26" spans="1:8" ht="14.65" customHeight="1">
      <c r="A26" s="3" t="s">
        <v>540</v>
      </c>
      <c r="B26" s="5">
        <f>B24*B25/10</f>
        <v>327692.5</v>
      </c>
    </row>
    <row r="27" spans="1:8" ht="14.65" customHeight="1">
      <c r="A27" s="3" t="s">
        <v>541</v>
      </c>
      <c r="B27" s="5">
        <v>84173</v>
      </c>
      <c r="C27" t="s">
        <v>542</v>
      </c>
    </row>
    <row r="28" spans="1:8" ht="14.65" customHeight="1">
      <c r="A28" s="3" t="s">
        <v>543</v>
      </c>
      <c r="B28" s="41">
        <f>ROUND((B23-B27)/'DCF Valuation'!B46,2)</f>
        <v>207.93</v>
      </c>
    </row>
    <row r="29" spans="1:8" ht="14.65" customHeight="1">
      <c r="A29" s="3" t="s">
        <v>544</v>
      </c>
      <c r="B29" s="41">
        <f>ROUND((B26-B27)/'DCF Valuation'!B46,2)</f>
        <v>195.22</v>
      </c>
    </row>
    <row r="30" spans="1:8">
      <c r="B30" s="32"/>
    </row>
    <row r="32" spans="1:8">
      <c r="A32" s="61" t="s">
        <v>545</v>
      </c>
      <c r="B32" s="61"/>
      <c r="C32" s="61"/>
      <c r="D32" s="61"/>
      <c r="E32" s="61"/>
      <c r="F32" s="61"/>
    </row>
    <row r="33" spans="1:10">
      <c r="A33" t="s">
        <v>2</v>
      </c>
      <c r="B33" t="s">
        <v>546</v>
      </c>
    </row>
    <row r="34" spans="1:10">
      <c r="A34" t="s">
        <v>547</v>
      </c>
      <c r="B34" s="41">
        <f>ROUND('DCF Valuation'!B47,2)</f>
        <v>86.89</v>
      </c>
    </row>
    <row r="35" spans="1:10">
      <c r="A35" t="s">
        <v>7</v>
      </c>
      <c r="B35" s="41">
        <f>ROUND(('DCF Valuation'!B41+'DCF Valuation'!B40*'DCF Valuation'!F14-'DCF Valuation'!B44)/'DCF Valuation'!B46,2)</f>
        <v>164.44</v>
      </c>
    </row>
    <row r="36" spans="1:10">
      <c r="A36" t="s">
        <v>548</v>
      </c>
      <c r="B36" s="41">
        <f>ROUND(B28,2)</f>
        <v>207.93</v>
      </c>
    </row>
    <row r="37" spans="1:10">
      <c r="A37" t="s">
        <v>549</v>
      </c>
      <c r="B37" s="41">
        <f>ROUND(B29,2)</f>
        <v>195.22</v>
      </c>
    </row>
    <row r="38" spans="1:10">
      <c r="A38" t="s">
        <v>550</v>
      </c>
      <c r="B38" s="41">
        <v>188.45</v>
      </c>
    </row>
    <row r="41" spans="1:10">
      <c r="A41" s="61" t="s">
        <v>551</v>
      </c>
      <c r="B41" s="61"/>
      <c r="C41" s="61"/>
      <c r="D41" s="61"/>
      <c r="E41" s="61"/>
      <c r="F41" s="61"/>
      <c r="G41" s="61"/>
      <c r="H41" s="61"/>
      <c r="I41" s="61"/>
      <c r="J41" s="61"/>
    </row>
    <row r="42" spans="1:10" ht="22.65" customHeight="1">
      <c r="A42" s="51" t="s">
        <v>517</v>
      </c>
      <c r="B42" s="69" t="s">
        <v>552</v>
      </c>
      <c r="C42" s="69"/>
      <c r="D42" s="69"/>
      <c r="E42" s="69"/>
      <c r="F42" s="69"/>
      <c r="G42" s="69"/>
      <c r="H42" s="69"/>
      <c r="I42" s="69"/>
      <c r="J42" s="69"/>
    </row>
    <row r="43" spans="1:10" ht="22.65" customHeight="1">
      <c r="A43" s="51" t="s">
        <v>518</v>
      </c>
      <c r="B43" s="69" t="s">
        <v>553</v>
      </c>
      <c r="C43" s="69"/>
      <c r="D43" s="69"/>
      <c r="E43" s="69"/>
      <c r="F43" s="69"/>
      <c r="G43" s="69"/>
      <c r="H43" s="69"/>
      <c r="I43" s="69"/>
      <c r="J43" s="69"/>
    </row>
    <row r="44" spans="1:10" ht="22.65" customHeight="1">
      <c r="A44" s="51" t="s">
        <v>519</v>
      </c>
      <c r="B44" s="69" t="s">
        <v>554</v>
      </c>
      <c r="C44" s="69"/>
      <c r="D44" s="69"/>
      <c r="E44" s="69"/>
      <c r="F44" s="69"/>
      <c r="G44" s="69"/>
      <c r="H44" s="69"/>
      <c r="I44" s="69"/>
      <c r="J44" s="69"/>
    </row>
    <row r="45" spans="1:10" ht="22.65" customHeight="1">
      <c r="A45" s="51" t="s">
        <v>520</v>
      </c>
      <c r="B45" s="69" t="s">
        <v>555</v>
      </c>
      <c r="C45" s="69"/>
      <c r="D45" s="69"/>
      <c r="E45" s="69"/>
      <c r="F45" s="69"/>
      <c r="G45" s="69"/>
      <c r="H45" s="69"/>
      <c r="I45" s="69"/>
      <c r="J45" s="69"/>
    </row>
    <row r="46" spans="1:10" ht="22.65" customHeight="1">
      <c r="A46" s="51" t="s">
        <v>556</v>
      </c>
      <c r="B46" s="69" t="s">
        <v>557</v>
      </c>
      <c r="C46" s="69"/>
      <c r="D46" s="69"/>
      <c r="E46" s="69"/>
      <c r="F46" s="69"/>
      <c r="G46" s="69"/>
      <c r="H46" s="69"/>
      <c r="I46" s="69"/>
      <c r="J46" s="69"/>
    </row>
  </sheetData>
  <mergeCells count="12">
    <mergeCell ref="B45:J45"/>
    <mergeCell ref="B46:J46"/>
    <mergeCell ref="A32:F32"/>
    <mergeCell ref="A41:J41"/>
    <mergeCell ref="B42:J42"/>
    <mergeCell ref="B43:J43"/>
    <mergeCell ref="B44:J44"/>
    <mergeCell ref="A1:H1"/>
    <mergeCell ref="A2:H2"/>
    <mergeCell ref="A17:G17"/>
    <mergeCell ref="A11:J11"/>
    <mergeCell ref="A19:H1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7"/>
  <sheetViews>
    <sheetView workbookViewId="0"/>
  </sheetViews>
  <sheetFormatPr defaultRowHeight="14"/>
  <cols>
    <col min="1" max="1" width="34" customWidth="1"/>
    <col min="2" max="2" width="26" customWidth="1"/>
    <col min="3" max="6" width="16" customWidth="1"/>
    <col min="7" max="10" width="17" customWidth="1"/>
    <col min="11" max="11" width="32" customWidth="1"/>
  </cols>
  <sheetData>
    <row r="1" spans="1:8" ht="19">
      <c r="A1" s="67" t="s">
        <v>558</v>
      </c>
      <c r="B1" s="67"/>
      <c r="C1" s="67"/>
      <c r="D1" s="67"/>
      <c r="E1" s="67"/>
      <c r="F1" s="67"/>
      <c r="G1" s="67"/>
      <c r="H1" s="67"/>
    </row>
    <row r="2" spans="1:8" ht="14.5">
      <c r="A2" s="59" t="s">
        <v>559</v>
      </c>
      <c r="B2" s="59"/>
      <c r="C2" s="59"/>
      <c r="D2" s="59"/>
      <c r="E2" s="59"/>
      <c r="F2" s="59"/>
      <c r="G2" s="59"/>
      <c r="H2" s="59"/>
    </row>
    <row r="4" spans="1:8">
      <c r="A4" s="38" t="s">
        <v>35</v>
      </c>
      <c r="B4" s="38" t="s">
        <v>97</v>
      </c>
      <c r="C4" s="38" t="s">
        <v>98</v>
      </c>
      <c r="D4" s="38" t="s">
        <v>99</v>
      </c>
      <c r="E4" s="38" t="s">
        <v>100</v>
      </c>
      <c r="F4" s="38" t="s">
        <v>101</v>
      </c>
    </row>
    <row r="6" spans="1:8">
      <c r="A6" t="s">
        <v>117</v>
      </c>
      <c r="B6" s="5">
        <f>'Income Statement'!D6</f>
        <v>246271.52249999999</v>
      </c>
      <c r="C6" s="5">
        <f>'Income Statement'!E6</f>
        <v>263756.80059750006</v>
      </c>
      <c r="D6" s="5">
        <f>'Income Statement'!F6</f>
        <v>279793.21407382807</v>
      </c>
      <c r="E6" s="5">
        <f>'Income Statement'!G6</f>
        <v>296825.62598057231</v>
      </c>
      <c r="F6" s="5">
        <f>'Income Statement'!H6</f>
        <v>313373.65462898929</v>
      </c>
    </row>
    <row r="7" spans="1:8">
      <c r="A7" t="s">
        <v>42</v>
      </c>
      <c r="B7" s="5">
        <f>'Income Statement'!D7</f>
        <v>38172.085987499995</v>
      </c>
      <c r="C7" s="5">
        <f>'Income Statement'!E7</f>
        <v>42201.088095600011</v>
      </c>
      <c r="D7" s="5">
        <f>'Income Statement'!F7</f>
        <v>46165.880322181634</v>
      </c>
      <c r="E7" s="5">
        <f>'Income Statement'!G7</f>
        <v>50460.356416697294</v>
      </c>
      <c r="F7" s="5">
        <f>'Income Statement'!H7</f>
        <v>53273.521286928182</v>
      </c>
    </row>
    <row r="8" spans="1:8">
      <c r="A8" t="s">
        <v>119</v>
      </c>
      <c r="B8" s="5">
        <f>'Income Statement'!D12</f>
        <v>20591.259152250001</v>
      </c>
      <c r="C8" s="5">
        <f>'Income Statement'!E12</f>
        <v>23829.045825059322</v>
      </c>
      <c r="D8" s="5">
        <f>'Income Statement'!F12</f>
        <v>27188.211849567553</v>
      </c>
      <c r="E8" s="5">
        <f>'Income Statement'!G12</f>
        <v>31001.701517098969</v>
      </c>
      <c r="F8" s="5">
        <f>'Income Statement'!H12</f>
        <v>33762.348177063985</v>
      </c>
    </row>
    <row r="9" spans="1:8">
      <c r="A9" t="s">
        <v>560</v>
      </c>
      <c r="B9" s="5">
        <f>'Debt Schedule'!D10</f>
        <v>87118.891144818757</v>
      </c>
      <c r="C9" s="5">
        <f>'Debt Schedule'!E10</f>
        <v>86277.789943710901</v>
      </c>
      <c r="D9" s="5">
        <f>'Debt Schedule'!F10</f>
        <v>84247.181986673837</v>
      </c>
      <c r="E9" s="5">
        <f>'Debt Schedule'!G10</f>
        <v>78948.396349736111</v>
      </c>
      <c r="F9" s="5">
        <f>'Debt Schedule'!H10</f>
        <v>70416.089368732995</v>
      </c>
    </row>
    <row r="10" spans="1:8">
      <c r="A10" t="s">
        <v>89</v>
      </c>
      <c r="B10" s="5">
        <f>'Debt Schedule'!D13</f>
        <v>74118.891144818757</v>
      </c>
      <c r="C10" s="5">
        <f>'Debt Schedule'!E13</f>
        <v>71315.220474459245</v>
      </c>
      <c r="D10" s="5">
        <f>'Debt Schedule'!F13</f>
        <v>67476.052923604992</v>
      </c>
      <c r="E10" s="5">
        <f>'Debt Schedule'!G13</f>
        <v>58000.217894329529</v>
      </c>
      <c r="F10" s="5">
        <f>'Debt Schedule'!H13</f>
        <v>44617.628897228329</v>
      </c>
    </row>
    <row r="11" spans="1:8">
      <c r="A11" t="s">
        <v>376</v>
      </c>
      <c r="B11" s="5">
        <f>'Debt Schedule'!D14</f>
        <v>5953.9473000000007</v>
      </c>
      <c r="C11" s="5">
        <f>'Debt Schedule'!E14</f>
        <v>6098.3223801373133</v>
      </c>
      <c r="D11" s="5">
        <f>'Debt Schedule'!F14</f>
        <v>6039.4452960597637</v>
      </c>
      <c r="E11" s="5">
        <f>'Debt Schedule'!G14</f>
        <v>5897.3027390671696</v>
      </c>
      <c r="F11" s="5">
        <f>'Debt Schedule'!H14</f>
        <v>5526.387744481528</v>
      </c>
    </row>
    <row r="12" spans="1:8">
      <c r="A12" t="s">
        <v>405</v>
      </c>
      <c r="B12" s="11">
        <f>B9/B7</f>
        <v>2.2822669731318093</v>
      </c>
      <c r="C12" s="11">
        <f>C9/C7</f>
        <v>2.044444677546275</v>
      </c>
      <c r="D12" s="11">
        <f>D9/D7</f>
        <v>1.8248797899819322</v>
      </c>
      <c r="E12" s="11">
        <f>E9/E7</f>
        <v>1.5645627965404569</v>
      </c>
      <c r="F12" s="11">
        <f>F9/F7</f>
        <v>1.3217840245527588</v>
      </c>
    </row>
    <row r="13" spans="1:8">
      <c r="A13" t="s">
        <v>90</v>
      </c>
      <c r="B13" s="11">
        <f>B10/B7</f>
        <v>1.9417039762796842</v>
      </c>
      <c r="C13" s="11">
        <f>C10/C7</f>
        <v>1.6898905618951268</v>
      </c>
      <c r="D13" s="11">
        <f>D10/D7</f>
        <v>1.4616000486225822</v>
      </c>
      <c r="E13" s="11">
        <f>E10/E7</f>
        <v>1.1494214867483041</v>
      </c>
      <c r="F13" s="11">
        <f>F10/F7</f>
        <v>0.8375198000695373</v>
      </c>
    </row>
    <row r="14" spans="1:8">
      <c r="A14" t="s">
        <v>561</v>
      </c>
      <c r="B14" s="11">
        <f>B8/B11</f>
        <v>3.4584214664194288</v>
      </c>
      <c r="C14" s="11">
        <f>C8/C11</f>
        <v>3.9074755874947322</v>
      </c>
      <c r="D14" s="11">
        <f>D8/D11</f>
        <v>4.5017730133768419</v>
      </c>
      <c r="E14" s="11">
        <f>E8/E11</f>
        <v>5.2569289535918911</v>
      </c>
      <c r="F14" s="11">
        <f>F8/F11</f>
        <v>6.1092977434994449</v>
      </c>
    </row>
    <row r="15" spans="1:8">
      <c r="A15" t="s">
        <v>562</v>
      </c>
      <c r="B15" s="5">
        <f>'Cash Flow'!D15</f>
        <v>32639.529464437492</v>
      </c>
      <c r="C15" s="5">
        <f>'Cash Flow'!E15</f>
        <v>36263.52836113517</v>
      </c>
      <c r="D15" s="5">
        <f>'Cash Flow'!F15</f>
        <v>38995.960513066719</v>
      </c>
      <c r="E15" s="5">
        <f>'Cash Flow'!G15</f>
        <v>42348.520609689891</v>
      </c>
      <c r="F15" s="5">
        <f>'Cash Flow'!H15</f>
        <v>44505.505081422118</v>
      </c>
    </row>
    <row r="16" spans="1:8">
      <c r="A16" t="s">
        <v>355</v>
      </c>
      <c r="B16" s="5">
        <f>'Capex Build'!C10</f>
        <v>7388.1456749999998</v>
      </c>
      <c r="C16" s="5">
        <f>'Capex Build'!D10</f>
        <v>7912.7040179250016</v>
      </c>
      <c r="D16" s="5">
        <f>'Capex Build'!E10</f>
        <v>8393.7964222148421</v>
      </c>
      <c r="E16" s="5">
        <f>'Capex Build'!F10</f>
        <v>8904.7687794171688</v>
      </c>
      <c r="F16" s="5">
        <f>'Capex Build'!G10</f>
        <v>9401.2096388696791</v>
      </c>
    </row>
    <row r="17" spans="1:8">
      <c r="A17" t="s">
        <v>563</v>
      </c>
      <c r="B17" s="5">
        <f>B15-B16</f>
        <v>25251.383789437492</v>
      </c>
      <c r="C17" s="5">
        <f>C15-C16</f>
        <v>28350.824343210166</v>
      </c>
      <c r="D17" s="5">
        <f>D15-D16</f>
        <v>30602.164090851875</v>
      </c>
      <c r="E17" s="5">
        <f>E15-E16</f>
        <v>33443.751830272726</v>
      </c>
      <c r="F17" s="5">
        <f>F15-F16</f>
        <v>35104.295442552437</v>
      </c>
    </row>
    <row r="18" spans="1:8">
      <c r="A18" t="s">
        <v>564</v>
      </c>
      <c r="B18" s="5">
        <f>'Debt Schedule'!D6*10%</f>
        <v>8505.639000000001</v>
      </c>
      <c r="C18" s="5">
        <f>'Debt Schedule'!E6*10%</f>
        <v>8711.8891144818754</v>
      </c>
      <c r="D18" s="5">
        <f>'Debt Schedule'!F6*10%</f>
        <v>8627.7789943710904</v>
      </c>
      <c r="E18" s="5">
        <f>'Debt Schedule'!G6*10%</f>
        <v>8424.7181986673841</v>
      </c>
      <c r="F18" s="5">
        <f>'Debt Schedule'!H6*10%</f>
        <v>7894.8396349736113</v>
      </c>
    </row>
    <row r="19" spans="1:8">
      <c r="A19" t="s">
        <v>565</v>
      </c>
      <c r="B19" s="5">
        <f>B11+B18</f>
        <v>14459.586300000003</v>
      </c>
      <c r="C19" s="5">
        <f>C11+C18</f>
        <v>14810.211494619189</v>
      </c>
      <c r="D19" s="5">
        <f>D11+D18</f>
        <v>14667.224290430855</v>
      </c>
      <c r="E19" s="5">
        <f>E11+E18</f>
        <v>14322.020937734553</v>
      </c>
      <c r="F19" s="5">
        <f>F11+F18</f>
        <v>13421.22737945514</v>
      </c>
    </row>
    <row r="20" spans="1:8">
      <c r="A20" t="s">
        <v>566</v>
      </c>
      <c r="B20" s="11">
        <f>B17/B19</f>
        <v>1.7463420643948497</v>
      </c>
      <c r="C20" s="11">
        <f>C17/C19</f>
        <v>1.9142754547097807</v>
      </c>
      <c r="D20" s="11">
        <f>D17/D19</f>
        <v>2.0864318622861209</v>
      </c>
      <c r="E20" s="11">
        <f>E17/E19</f>
        <v>2.3351279805881107</v>
      </c>
      <c r="F20" s="11">
        <f>F17/F19</f>
        <v>2.6155801142516344</v>
      </c>
    </row>
    <row r="21" spans="1:8">
      <c r="A21" s="72" t="s">
        <v>567</v>
      </c>
      <c r="B21" s="72">
        <f>B15-'Capex Build'!C7</f>
        <v>12639.529464437492</v>
      </c>
      <c r="C21" s="72">
        <f>C15-'Capex Build'!D7</f>
        <v>14263.52836113517</v>
      </c>
      <c r="D21" s="72">
        <f>D15-'Capex Build'!E7</f>
        <v>15995.960513066719</v>
      </c>
      <c r="E21" s="72">
        <f>E15-'Capex Build'!F7</f>
        <v>22348.520609689891</v>
      </c>
      <c r="F21" s="72">
        <f>F15-'Capex Build'!G7</f>
        <v>26505.505081422118</v>
      </c>
    </row>
    <row r="22" spans="1:8">
      <c r="A22" s="56" t="s">
        <v>568</v>
      </c>
      <c r="B22" s="52">
        <f>B21/B19</f>
        <v>0.87412801460561074</v>
      </c>
      <c r="C22" s="52">
        <f>C21/C19</f>
        <v>0.96308741886078819</v>
      </c>
      <c r="D22" s="53">
        <f>D21/D19</f>
        <v>1.0905922072455627</v>
      </c>
      <c r="E22" s="53">
        <f>E21/E19</f>
        <v>1.560430661765599</v>
      </c>
      <c r="F22" s="53">
        <f>F21/F19</f>
        <v>1.9748942724862886</v>
      </c>
    </row>
    <row r="23" spans="1:8">
      <c r="A23" s="56" t="s">
        <v>384</v>
      </c>
      <c r="B23" s="54">
        <f>'Debt Schedule'!D11</f>
        <v>13000</v>
      </c>
      <c r="C23" s="54">
        <f>'Debt Schedule'!E11</f>
        <v>14962.569469251655</v>
      </c>
      <c r="D23" s="55">
        <f>'Debt Schedule'!F11</f>
        <v>16771.129063068845</v>
      </c>
      <c r="E23" s="55">
        <f>'Debt Schedule'!G11</f>
        <v>20948.178455406578</v>
      </c>
      <c r="F23" s="55">
        <f>'Debt Schedule'!H11</f>
        <v>25798.460471504666</v>
      </c>
    </row>
    <row r="24" spans="1:8" ht="28">
      <c r="A24" s="56" t="s">
        <v>569</v>
      </c>
      <c r="B24" s="54">
        <v>84173</v>
      </c>
      <c r="C24" s="54" t="s">
        <v>570</v>
      </c>
      <c r="D24" s="55">
        <v>45950</v>
      </c>
      <c r="E24" s="55"/>
      <c r="F24" s="55"/>
    </row>
    <row r="25" spans="1:8">
      <c r="A25" s="3"/>
      <c r="B25" s="3"/>
      <c r="C25" s="3"/>
    </row>
    <row r="26" spans="1:8">
      <c r="A26" s="3"/>
      <c r="B26" s="3"/>
      <c r="C26" s="3"/>
    </row>
    <row r="27" spans="1:8">
      <c r="A27" s="61" t="s">
        <v>571</v>
      </c>
      <c r="B27" s="61"/>
      <c r="C27" s="61"/>
      <c r="D27" s="61"/>
      <c r="E27" s="61"/>
      <c r="F27" s="61"/>
    </row>
    <row r="28" spans="1:8">
      <c r="A28" s="3" t="s">
        <v>572</v>
      </c>
      <c r="B28" s="3" t="s">
        <v>573</v>
      </c>
      <c r="C28" s="3" t="s">
        <v>416</v>
      </c>
    </row>
    <row r="29" spans="1:8" ht="18.649999999999999" customHeight="1">
      <c r="A29" s="46" t="s">
        <v>574</v>
      </c>
      <c r="B29" s="46" t="s">
        <v>575</v>
      </c>
      <c r="C29" s="73" t="s">
        <v>576</v>
      </c>
      <c r="D29" s="73"/>
      <c r="E29" s="73"/>
      <c r="F29" s="73"/>
      <c r="G29" s="24"/>
      <c r="H29" s="24"/>
    </row>
    <row r="30" spans="1:8" ht="18.649999999999999" customHeight="1">
      <c r="A30" s="47" t="s">
        <v>577</v>
      </c>
      <c r="B30" s="47" t="s">
        <v>578</v>
      </c>
      <c r="C30" s="74" t="s">
        <v>579</v>
      </c>
      <c r="D30" s="74"/>
      <c r="E30" s="74"/>
      <c r="F30" s="74"/>
      <c r="G30" s="23"/>
      <c r="H30" s="23"/>
    </row>
    <row r="31" spans="1:8" ht="18.649999999999999" customHeight="1">
      <c r="A31" s="3" t="s">
        <v>580</v>
      </c>
      <c r="B31" s="34" t="s">
        <v>581</v>
      </c>
      <c r="C31" s="75" t="s">
        <v>582</v>
      </c>
      <c r="D31" s="76"/>
      <c r="E31" s="75"/>
      <c r="F31" s="77"/>
      <c r="G31" s="11"/>
      <c r="H31" s="11"/>
    </row>
    <row r="32" spans="1:8" ht="18.649999999999999" customHeight="1">
      <c r="A32" s="3" t="s">
        <v>583</v>
      </c>
      <c r="B32" s="34" t="s">
        <v>584</v>
      </c>
      <c r="C32" s="75" t="s">
        <v>585</v>
      </c>
      <c r="D32" s="76"/>
      <c r="E32" s="75"/>
      <c r="F32" s="77"/>
      <c r="G32" s="11"/>
      <c r="H32" s="11"/>
    </row>
    <row r="33" spans="1:11" ht="18.649999999999999" customHeight="1">
      <c r="A33" s="3" t="s">
        <v>586</v>
      </c>
      <c r="B33" s="34" t="s">
        <v>587</v>
      </c>
      <c r="C33" s="75" t="s">
        <v>588</v>
      </c>
      <c r="D33" s="76"/>
      <c r="E33" s="75"/>
      <c r="F33" s="77"/>
      <c r="G33" s="11"/>
      <c r="H33" s="11"/>
    </row>
    <row r="36" spans="1:11">
      <c r="A36" s="61" t="s">
        <v>589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</row>
    <row r="37" spans="1:11">
      <c r="A37" s="38" t="s">
        <v>590</v>
      </c>
      <c r="B37" s="38" t="s">
        <v>591</v>
      </c>
      <c r="C37" s="38" t="s">
        <v>43</v>
      </c>
      <c r="D37" s="38" t="s">
        <v>592</v>
      </c>
      <c r="E37" s="38" t="s">
        <v>593</v>
      </c>
      <c r="F37" s="38" t="s">
        <v>594</v>
      </c>
      <c r="G37" s="38" t="s">
        <v>42</v>
      </c>
      <c r="H37" s="38" t="s">
        <v>595</v>
      </c>
      <c r="I37" s="38" t="s">
        <v>22</v>
      </c>
      <c r="J37" s="38" t="s">
        <v>596</v>
      </c>
      <c r="K37" s="38" t="s">
        <v>597</v>
      </c>
    </row>
    <row r="38" spans="1:11" ht="28">
      <c r="A38" t="s">
        <v>598</v>
      </c>
      <c r="B38" s="36">
        <v>0</v>
      </c>
      <c r="C38" s="36">
        <v>0.155</v>
      </c>
      <c r="D38" s="48">
        <v>1</v>
      </c>
      <c r="E38" s="36">
        <v>8.2400000000000001E-2</v>
      </c>
      <c r="F38" s="37">
        <v>400</v>
      </c>
      <c r="G38" s="5">
        <f>ROUND($B$6*(1+B38)*C38,0)</f>
        <v>38172</v>
      </c>
      <c r="H38" s="5">
        <f>ROUND(G38-MAX(0,(G38-'PP&amp;E Schedule'!D9-'Debt Schedule'!D6*E38)*25%)-F38-($B$6*(1+B38)*3%),0)</f>
        <v>25589</v>
      </c>
      <c r="I38" s="11">
        <f>ROUND((84173+MAX(0,-(G38-MAX(0,(G38-'PP&amp;E Schedule'!D9-'Debt Schedule'!D6*E38)*25%)-F38-('Capex Build'!C7*D38)-('Debt Schedule'!D6*E38))))/G38,2)</f>
        <v>2.21</v>
      </c>
      <c r="J38" s="11">
        <f>ROUND(H38/(('Debt Schedule'!D6*E38)+'Debt Schedule'!D6*10%),2)</f>
        <v>1.65</v>
      </c>
      <c r="K38" s="3" t="s">
        <v>599</v>
      </c>
    </row>
    <row r="39" spans="1:11" ht="28">
      <c r="A39" t="s">
        <v>600</v>
      </c>
      <c r="B39" s="36">
        <v>-0.12</v>
      </c>
      <c r="C39" s="36">
        <v>0.12</v>
      </c>
      <c r="D39" s="48">
        <v>1.1499999999999999</v>
      </c>
      <c r="E39" s="36">
        <v>0.1</v>
      </c>
      <c r="F39" s="37">
        <v>5000</v>
      </c>
      <c r="G39" s="5">
        <f>ROUND($B$6*(1+B39)*C39,0)</f>
        <v>26006</v>
      </c>
      <c r="H39" s="5">
        <f>ROUND(G39-MAX(0,(G39-'PP&amp;E Schedule'!D9-'Debt Schedule'!D6*E39)*25%)-F39-($B$6*(1+B39)*3%),0)</f>
        <v>13125</v>
      </c>
      <c r="I39" s="11">
        <f>ROUND((84173+MAX(0,-(G39-MAX(0,(G39-'PP&amp;E Schedule'!D9-'Debt Schedule'!D6*E39)*25%)-F39-('Capex Build'!C7*D39)-('Debt Schedule'!D6*E39))))/G39,2)</f>
        <v>3.69</v>
      </c>
      <c r="J39" s="11">
        <f>ROUND(H39/(('Debt Schedule'!D6*E39)+'Debt Schedule'!D6*10%),2)</f>
        <v>0.77</v>
      </c>
      <c r="K39" s="3" t="s">
        <v>601</v>
      </c>
    </row>
    <row r="40" spans="1:11" ht="28">
      <c r="A40" t="s">
        <v>71</v>
      </c>
      <c r="B40" s="36">
        <v>-0.05</v>
      </c>
      <c r="C40" s="36">
        <v>0.13500000000000001</v>
      </c>
      <c r="D40" s="48">
        <v>1.25</v>
      </c>
      <c r="E40" s="36">
        <v>0.105</v>
      </c>
      <c r="F40" s="37">
        <v>8000</v>
      </c>
      <c r="G40" s="5">
        <f>ROUND($B$6*(1+B40)*C40,0)</f>
        <v>31584</v>
      </c>
      <c r="H40" s="5">
        <f>ROUND(G40-MAX(0,(G40-'PP&amp;E Schedule'!D9-'Debt Schedule'!D6*E40)*25%)-F40-($B$6*(1+B40)*3%),0)</f>
        <v>13898</v>
      </c>
      <c r="I40" s="11">
        <f>ROUND((84173+MAX(0,-(G40-MAX(0,(G40-'PP&amp;E Schedule'!D9-'Debt Schedule'!D6*E40)*25%)-F40-('Capex Build'!C7*D40)-('Debt Schedule'!D6*E40))))/G40,2)</f>
        <v>3.08</v>
      </c>
      <c r="J40" s="11">
        <f>ROUND(H40/(('Debt Schedule'!D6*E40)+'Debt Schedule'!D6*10%),2)</f>
        <v>0.8</v>
      </c>
      <c r="K40" s="3" t="s">
        <v>602</v>
      </c>
    </row>
    <row r="43" spans="1:11">
      <c r="A43" s="61" t="s">
        <v>603</v>
      </c>
      <c r="B43" s="61"/>
      <c r="C43" s="61"/>
      <c r="D43" s="61"/>
      <c r="E43" s="61"/>
      <c r="F43" s="61"/>
    </row>
    <row r="44" spans="1:11" ht="28" customHeight="1">
      <c r="A44" s="51" t="s">
        <v>598</v>
      </c>
      <c r="B44" s="69" t="s">
        <v>604</v>
      </c>
      <c r="C44" s="69"/>
      <c r="D44" s="69"/>
      <c r="E44" s="69"/>
      <c r="F44" s="69"/>
    </row>
    <row r="45" spans="1:11" ht="28" customHeight="1">
      <c r="A45" s="51" t="s">
        <v>70</v>
      </c>
      <c r="B45" s="69" t="s">
        <v>605</v>
      </c>
      <c r="C45" s="69"/>
      <c r="D45" s="69"/>
      <c r="E45" s="69"/>
      <c r="F45" s="69"/>
    </row>
    <row r="46" spans="1:11" ht="28" customHeight="1">
      <c r="A46" s="51" t="s">
        <v>71</v>
      </c>
      <c r="B46" s="69" t="s">
        <v>606</v>
      </c>
      <c r="C46" s="69"/>
      <c r="D46" s="69"/>
      <c r="E46" s="69"/>
      <c r="F46" s="69"/>
    </row>
    <row r="47" spans="1:11" ht="28" customHeight="1">
      <c r="A47" s="51" t="s">
        <v>73</v>
      </c>
      <c r="B47" s="69" t="s">
        <v>607</v>
      </c>
      <c r="C47" s="69"/>
      <c r="D47" s="69"/>
      <c r="E47" s="69"/>
      <c r="F47" s="69"/>
    </row>
  </sheetData>
  <mergeCells count="15">
    <mergeCell ref="B44:F44"/>
    <mergeCell ref="B45:F45"/>
    <mergeCell ref="B46:F46"/>
    <mergeCell ref="B47:F47"/>
    <mergeCell ref="A43:F43"/>
    <mergeCell ref="C29:F29"/>
    <mergeCell ref="C30:F30"/>
    <mergeCell ref="C31:F31"/>
    <mergeCell ref="C32:F32"/>
    <mergeCell ref="C33:F33"/>
    <mergeCell ref="A1:H1"/>
    <mergeCell ref="A2:H2"/>
    <mergeCell ref="A21:F21"/>
    <mergeCell ref="A27:F27"/>
    <mergeCell ref="A36:K36"/>
  </mergeCells>
  <conditionalFormatting sqref="G31:H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I38:I40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J38:J40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"/>
  <sheetViews>
    <sheetView workbookViewId="0"/>
  </sheetViews>
  <sheetFormatPr defaultRowHeight="14"/>
  <cols>
    <col min="1" max="1" width="34" customWidth="1"/>
    <col min="2" max="7" width="16" customWidth="1"/>
  </cols>
  <sheetData>
    <row r="1" spans="1:7" ht="19">
      <c r="A1" s="70" t="s">
        <v>608</v>
      </c>
      <c r="B1" s="70"/>
      <c r="C1" s="70"/>
      <c r="D1" s="70"/>
      <c r="E1" s="70"/>
      <c r="F1" s="70"/>
      <c r="G1" s="70"/>
    </row>
    <row r="2" spans="1:7">
      <c r="A2" s="78" t="s">
        <v>609</v>
      </c>
      <c r="B2" s="78"/>
      <c r="C2" s="78"/>
      <c r="D2" s="78"/>
      <c r="E2" s="78"/>
      <c r="F2" s="78"/>
      <c r="G2" s="78"/>
    </row>
    <row r="4" spans="1:7">
      <c r="A4" s="38" t="s">
        <v>35</v>
      </c>
      <c r="B4" s="38" t="s">
        <v>81</v>
      </c>
      <c r="C4" s="38" t="s">
        <v>97</v>
      </c>
      <c r="D4" s="38" t="s">
        <v>98</v>
      </c>
      <c r="E4" s="38" t="s">
        <v>99</v>
      </c>
      <c r="F4" s="38" t="s">
        <v>100</v>
      </c>
      <c r="G4" s="38" t="s">
        <v>101</v>
      </c>
    </row>
    <row r="6" spans="1:7">
      <c r="A6" t="s">
        <v>117</v>
      </c>
      <c r="B6" s="5">
        <v>232139.94</v>
      </c>
      <c r="C6" s="5">
        <f>'Income Statement'!D6</f>
        <v>246271.52249999999</v>
      </c>
      <c r="D6" s="5">
        <f>'Income Statement'!E6</f>
        <v>263756.80059750006</v>
      </c>
      <c r="E6" s="5">
        <f>'Income Statement'!F6</f>
        <v>279793.21407382807</v>
      </c>
      <c r="F6" s="5">
        <f>'Income Statement'!G6</f>
        <v>296825.62598057231</v>
      </c>
      <c r="G6" s="5">
        <f>'Income Statement'!H6</f>
        <v>313373.65462898929</v>
      </c>
    </row>
    <row r="7" spans="1:7">
      <c r="A7" t="s">
        <v>354</v>
      </c>
      <c r="B7" s="5">
        <v>14559.05</v>
      </c>
      <c r="C7" s="37">
        <v>20000</v>
      </c>
      <c r="D7" s="37">
        <v>22000</v>
      </c>
      <c r="E7" s="37">
        <v>23000</v>
      </c>
      <c r="F7" s="37">
        <v>20000</v>
      </c>
      <c r="G7" s="37">
        <v>18000</v>
      </c>
    </row>
    <row r="8" spans="1:7">
      <c r="A8" t="s">
        <v>610</v>
      </c>
      <c r="B8" s="6">
        <f t="shared" ref="B8:G8" si="0">B7/B6</f>
        <v>6.2716695799955827E-2</v>
      </c>
      <c r="C8" s="6">
        <f t="shared" si="0"/>
        <v>8.1211176172429761E-2</v>
      </c>
      <c r="D8" s="6">
        <f t="shared" si="0"/>
        <v>8.3410171605670144E-2</v>
      </c>
      <c r="E8" s="6">
        <f t="shared" si="0"/>
        <v>8.2203566216338148E-2</v>
      </c>
      <c r="F8" s="6">
        <f t="shared" si="0"/>
        <v>6.7379627125957881E-2</v>
      </c>
      <c r="G8" s="6">
        <f t="shared" si="0"/>
        <v>5.7439416920068279E-2</v>
      </c>
    </row>
    <row r="9" spans="1:7">
      <c r="A9" t="s">
        <v>611</v>
      </c>
      <c r="C9" s="36">
        <v>0.03</v>
      </c>
      <c r="D9" s="36">
        <v>0.03</v>
      </c>
      <c r="E9" s="36">
        <v>0.03</v>
      </c>
      <c r="F9" s="36">
        <v>0.03</v>
      </c>
      <c r="G9" s="36">
        <v>0.03</v>
      </c>
    </row>
    <row r="10" spans="1:7">
      <c r="A10" t="s">
        <v>355</v>
      </c>
      <c r="C10" s="5">
        <f>C6*C9</f>
        <v>7388.1456749999998</v>
      </c>
      <c r="D10" s="5">
        <f>D6*D9</f>
        <v>7912.7040179250016</v>
      </c>
      <c r="E10" s="5">
        <f>E6*E9</f>
        <v>8393.7964222148421</v>
      </c>
      <c r="F10" s="5">
        <f>F6*F9</f>
        <v>8904.7687794171688</v>
      </c>
      <c r="G10" s="5">
        <f>G6*G9</f>
        <v>9401.2096388696791</v>
      </c>
    </row>
    <row r="11" spans="1:7">
      <c r="A11" t="s">
        <v>612</v>
      </c>
      <c r="C11" s="5">
        <f>C7-C10</f>
        <v>12611.854325</v>
      </c>
      <c r="D11" s="5">
        <f>D7-D10</f>
        <v>14087.295982074998</v>
      </c>
      <c r="E11" s="5">
        <f>E7-E10</f>
        <v>14606.203577785158</v>
      </c>
      <c r="F11" s="5">
        <f>F7-F10</f>
        <v>11095.231220582831</v>
      </c>
      <c r="G11" s="5">
        <f>G7-G10</f>
        <v>8598.7903611303209</v>
      </c>
    </row>
    <row r="12" spans="1:7">
      <c r="A12" t="s">
        <v>613</v>
      </c>
      <c r="C12" s="37">
        <v>0.65</v>
      </c>
      <c r="D12" s="37">
        <v>0.7</v>
      </c>
      <c r="E12" s="37">
        <v>0.7</v>
      </c>
      <c r="F12" s="37">
        <v>0.7</v>
      </c>
      <c r="G12" s="37">
        <v>0.7</v>
      </c>
    </row>
    <row r="13" spans="1:7">
      <c r="A13" t="s">
        <v>614</v>
      </c>
      <c r="C13" s="5">
        <f>C11*C12</f>
        <v>8197.7053112499998</v>
      </c>
      <c r="D13" s="5">
        <f>D11*D12</f>
        <v>9861.1071874524987</v>
      </c>
      <c r="E13" s="5">
        <f>E11*E12</f>
        <v>10224.342504449611</v>
      </c>
      <c r="F13" s="5">
        <f>F11*F12</f>
        <v>7766.6618544079811</v>
      </c>
      <c r="G13" s="5">
        <f>G11*G12</f>
        <v>6019.1532527912241</v>
      </c>
    </row>
    <row r="14" spans="1:7">
      <c r="A14" t="s">
        <v>615</v>
      </c>
      <c r="C14" s="5">
        <f>C11-C13</f>
        <v>4414.1490137500004</v>
      </c>
      <c r="D14" s="5">
        <f>D11-D13</f>
        <v>4226.1887946224997</v>
      </c>
      <c r="E14" s="5">
        <f>E11-E13</f>
        <v>4381.8610733355472</v>
      </c>
      <c r="F14" s="5">
        <f>F11-F13</f>
        <v>3328.5693661748501</v>
      </c>
      <c r="G14" s="5">
        <f>G11-G13</f>
        <v>2579.6371083390968</v>
      </c>
    </row>
    <row r="16" spans="1:7">
      <c r="A16" s="61" t="s">
        <v>616</v>
      </c>
      <c r="B16" s="61"/>
      <c r="C16" s="61"/>
      <c r="D16" s="61"/>
      <c r="E16" s="61"/>
      <c r="F16" s="61"/>
      <c r="G16" s="61"/>
    </row>
    <row r="17" spans="1:7" ht="56">
      <c r="A17" s="3" t="s">
        <v>617</v>
      </c>
      <c r="B17" s="3" t="s">
        <v>618</v>
      </c>
      <c r="C17" s="3"/>
      <c r="D17" s="3"/>
      <c r="E17" s="3"/>
      <c r="F17" s="3"/>
      <c r="G17" s="3"/>
    </row>
    <row r="18" spans="1:7" ht="168">
      <c r="A18" s="3" t="s">
        <v>619</v>
      </c>
      <c r="B18" s="3" t="s">
        <v>620</v>
      </c>
      <c r="C18" s="3"/>
      <c r="D18" s="3"/>
      <c r="E18" s="3"/>
      <c r="F18" s="3"/>
      <c r="G18" s="3"/>
    </row>
  </sheetData>
  <mergeCells count="3">
    <mergeCell ref="A1:G1"/>
    <mergeCell ref="A2:G2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Executive Summary</vt:lpstr>
      <vt:lpstr>Historicals</vt:lpstr>
      <vt:lpstr>Assumptions</vt:lpstr>
      <vt:lpstr>Forecast</vt:lpstr>
      <vt:lpstr>Checks</vt:lpstr>
      <vt:lpstr>Sources</vt:lpstr>
      <vt:lpstr>Income Statement</vt:lpstr>
      <vt:lpstr>Balance Sheet</vt:lpstr>
      <vt:lpstr>Working Capital</vt:lpstr>
      <vt:lpstr>PP&amp;E Schedule</vt:lpstr>
      <vt:lpstr>Debt Schedule</vt:lpstr>
      <vt:lpstr>Cash Flow</vt:lpstr>
      <vt:lpstr>Ratios</vt:lpstr>
      <vt:lpstr>Operating Drivers</vt:lpstr>
      <vt:lpstr>DCF Valuation</vt:lpstr>
      <vt:lpstr>Trading Comps</vt:lpstr>
      <vt:lpstr>Credit Underwriting</vt:lpstr>
      <vt:lpstr>Capex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Kataria</dc:creator>
  <cp:lastModifiedBy>Amit Kataria</cp:lastModifiedBy>
  <dcterms:created xsi:type="dcterms:W3CDTF">2026-08-28T06:37:12Z</dcterms:created>
  <dcterms:modified xsi:type="dcterms:W3CDTF">2026-08-28T07:00:32Z</dcterms:modified>
</cp:coreProperties>
</file>